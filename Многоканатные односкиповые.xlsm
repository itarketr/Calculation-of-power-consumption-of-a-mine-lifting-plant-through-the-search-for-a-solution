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9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38A\"/>
    </mc:Choice>
  </mc:AlternateContent>
  <xr:revisionPtr revIDLastSave="0" documentId="8_{859C8F8B-AF30-4C02-9BBF-DB66D51C429A}" xr6:coauthVersionLast="45" xr6:coauthVersionMax="45" xr10:uidLastSave="{00000000-0000-0000-0000-000000000000}"/>
  <bookViews>
    <workbookView xWindow="-120" yWindow="-120" windowWidth="15600" windowHeight="11760" tabRatio="580" xr2:uid="{00000000-000D-0000-FFFF-FFFF00000000}"/>
  </bookViews>
  <sheets>
    <sheet name="Подъём" sheetId="2" r:id="rId1"/>
    <sheet name="Спуск " sheetId="14" r:id="rId2"/>
  </sheets>
  <definedNames>
    <definedName name="solver_adj" localSheetId="0" hidden="1">Подъём!$AS$19</definedName>
    <definedName name="solver_adj" localSheetId="1" hidden="1">'Спуск '!$AI$19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hs1" localSheetId="0" hidden="1">Подъём!$AR$19</definedName>
    <definedName name="solver_lhs1" localSheetId="1" hidden="1">'Спуск '!$AH$19</definedName>
    <definedName name="solver_lin" localSheetId="0" hidden="1">2</definedName>
    <definedName name="solver_lin" localSheetId="1" hidden="1">2</definedName>
    <definedName name="solver_neg" localSheetId="0" hidden="1">2</definedName>
    <definedName name="solver_neg" localSheetId="1" hidden="1">2</definedName>
    <definedName name="solver_num" localSheetId="0" hidden="1">1</definedName>
    <definedName name="solver_num" localSheetId="1" hidden="1">1</definedName>
    <definedName name="solver_nwt" localSheetId="0" hidden="1">1</definedName>
    <definedName name="solver_nwt" localSheetId="1" hidden="1">1</definedName>
    <definedName name="solver_opt" localSheetId="0" hidden="1">Подъём!$C$64</definedName>
    <definedName name="solver_opt" localSheetId="1" hidden="1">'Спуск '!$C$53</definedName>
    <definedName name="solver_pre" localSheetId="0" hidden="1">0.000001</definedName>
    <definedName name="solver_pre" localSheetId="1" hidden="1">0.000001</definedName>
    <definedName name="solver_rel1" localSheetId="0" hidden="1">3</definedName>
    <definedName name="solver_rel1" localSheetId="1" hidden="1">3</definedName>
    <definedName name="solver_rhs1" localSheetId="0" hidden="1">0</definedName>
    <definedName name="solver_rhs1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Z_9228DEC1_462C_4509_8A63_E40C51979C87_.wvu.Cols" localSheetId="0" hidden="1">Подъём!$A:$A,Подъём!$CX:$IV</definedName>
    <definedName name="Z_9228DEC1_462C_4509_8A63_E40C51979C87_.wvu.Cols" localSheetId="1" hidden="1">'Спуск '!$A:$A,'Спуск '!$CO:$IV</definedName>
    <definedName name="Z_9228DEC1_462C_4509_8A63_E40C51979C87_.wvu.Rows" localSheetId="0" hidden="1">Подъём!$18:$19</definedName>
    <definedName name="Z_9228DEC1_462C_4509_8A63_E40C51979C87_.wvu.Rows" localSheetId="1" hidden="1">'Спуск '!$18:$19</definedName>
  </definedNames>
  <calcPr calcId="191028" calcCompleted="0"/>
  <customWorkbookViews>
    <customWorkbookView name="Роман Николаевич - Личное представление" guid="{9228DEC1-462C-4509-8A63-E40C51979C87}" mergeInterval="0" personalView="1" maximized="1" windowWidth="987" windowHeight="568" tabRatio="58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8" i="2" l="1"/>
  <c r="E39" i="2"/>
  <c r="E45" i="2"/>
  <c r="D43" i="2"/>
  <c r="E34" i="2"/>
  <c r="F43" i="2"/>
  <c r="E36" i="2"/>
  <c r="C43" i="2"/>
  <c r="E33" i="2"/>
  <c r="G43" i="2"/>
  <c r="E37" i="2"/>
  <c r="E35" i="2"/>
  <c r="E43" i="2"/>
  <c r="T32" i="2"/>
  <c r="U32" i="2"/>
  <c r="V32" i="2"/>
  <c r="W32" i="2"/>
  <c r="X32" i="2"/>
  <c r="Y32" i="2"/>
  <c r="Z32" i="2"/>
  <c r="AA32" i="2"/>
  <c r="AB32" i="2"/>
  <c r="R24" i="2"/>
  <c r="R25" i="2"/>
  <c r="R55" i="2"/>
  <c r="S55" i="2"/>
  <c r="T55" i="2"/>
  <c r="U55" i="2"/>
  <c r="V55" i="2"/>
  <c r="W55" i="2"/>
  <c r="X55" i="2"/>
  <c r="Y55" i="2"/>
  <c r="Z55" i="2"/>
  <c r="AA55" i="2"/>
  <c r="AB55" i="2"/>
  <c r="AB56" i="2"/>
  <c r="R56" i="2"/>
  <c r="D24" i="2"/>
  <c r="E24" i="2"/>
  <c r="F24" i="2"/>
  <c r="G24" i="2"/>
  <c r="G55" i="2"/>
  <c r="G56" i="2"/>
  <c r="AB50" i="2"/>
  <c r="AM56" i="2"/>
  <c r="AN56" i="2"/>
  <c r="AL50" i="2"/>
  <c r="D45" i="2"/>
  <c r="AO56" i="2"/>
  <c r="AR56" i="2"/>
  <c r="AP56" i="2"/>
  <c r="AR54" i="2"/>
  <c r="AR57" i="2"/>
  <c r="F54" i="2"/>
  <c r="G54" i="2"/>
  <c r="G57" i="2"/>
  <c r="AM54" i="2"/>
  <c r="AM57" i="2"/>
  <c r="AN54" i="2"/>
  <c r="AO54" i="2"/>
  <c r="AO57" i="2"/>
  <c r="AO55" i="2"/>
  <c r="AO58" i="2"/>
  <c r="AC24" i="2"/>
  <c r="AC23" i="2"/>
  <c r="AD24" i="2"/>
  <c r="AD23" i="2"/>
  <c r="AE24" i="2"/>
  <c r="AE23" i="2"/>
  <c r="AE55" i="2"/>
  <c r="Q24" i="2"/>
  <c r="Q25" i="2"/>
  <c r="Q56" i="2"/>
  <c r="P24" i="2"/>
  <c r="O24" i="2"/>
  <c r="N24" i="2"/>
  <c r="M24" i="2"/>
  <c r="L24" i="2"/>
  <c r="K24" i="2"/>
  <c r="J24" i="2"/>
  <c r="I24" i="2"/>
  <c r="H24" i="2"/>
  <c r="H28" i="2"/>
  <c r="G28" i="2"/>
  <c r="H29" i="2"/>
  <c r="H25" i="2"/>
  <c r="H56" i="2"/>
  <c r="H54" i="2"/>
  <c r="H57" i="2"/>
  <c r="AS54" i="2"/>
  <c r="AT54" i="2"/>
  <c r="AD56" i="2"/>
  <c r="AE56" i="2"/>
  <c r="AF24" i="2"/>
  <c r="AF23" i="2"/>
  <c r="AF56" i="2"/>
  <c r="AG24" i="2"/>
  <c r="AG23" i="2"/>
  <c r="AG56" i="2"/>
  <c r="AH24" i="2"/>
  <c r="AH23" i="2"/>
  <c r="AH56" i="2"/>
  <c r="AI24" i="2"/>
  <c r="AI23" i="2"/>
  <c r="AI56" i="2"/>
  <c r="AJ24" i="2"/>
  <c r="AJ23" i="2"/>
  <c r="AJ56" i="2"/>
  <c r="AK24" i="2"/>
  <c r="AK23" i="2"/>
  <c r="AK56" i="2"/>
  <c r="AL24" i="2"/>
  <c r="AL23" i="2"/>
  <c r="AL56" i="2"/>
  <c r="AC56" i="2"/>
  <c r="AM24" i="2"/>
  <c r="AC32" i="2"/>
  <c r="AD32" i="2"/>
  <c r="AC54" i="2"/>
  <c r="AC57" i="2"/>
  <c r="AD55" i="2"/>
  <c r="AF55" i="2"/>
  <c r="AG55" i="2"/>
  <c r="AH55" i="2"/>
  <c r="AI55" i="2"/>
  <c r="AJ55" i="2"/>
  <c r="AK55" i="2"/>
  <c r="AL55" i="2"/>
  <c r="AM55" i="2"/>
  <c r="AC55" i="2"/>
  <c r="AD54" i="2"/>
  <c r="AE54" i="2"/>
  <c r="AF54" i="2"/>
  <c r="AG54" i="2"/>
  <c r="AH54" i="2"/>
  <c r="AI54" i="2"/>
  <c r="AJ54" i="2"/>
  <c r="AK54" i="2"/>
  <c r="AL54" i="2"/>
  <c r="X56" i="2"/>
  <c r="X57" i="2"/>
  <c r="X59" i="2"/>
  <c r="W56" i="2"/>
  <c r="W57" i="2"/>
  <c r="W59" i="2"/>
  <c r="AB24" i="2"/>
  <c r="R28" i="2"/>
  <c r="AB28" i="2"/>
  <c r="T25" i="2"/>
  <c r="S28" i="2"/>
  <c r="T28" i="2"/>
  <c r="U28" i="2"/>
  <c r="V28" i="2"/>
  <c r="W28" i="2"/>
  <c r="X28" i="2"/>
  <c r="X29" i="2"/>
  <c r="X61" i="2"/>
  <c r="Y28" i="2"/>
  <c r="Z28" i="2"/>
  <c r="AA28" i="2"/>
  <c r="AA29" i="2"/>
  <c r="C64" i="2"/>
  <c r="R54" i="2"/>
  <c r="AB54" i="2"/>
  <c r="AB57" i="2"/>
  <c r="AB59" i="2"/>
  <c r="AA56" i="2"/>
  <c r="AA57" i="2"/>
  <c r="AA59" i="2"/>
  <c r="AB29" i="2"/>
  <c r="AB61" i="2"/>
  <c r="V56" i="2"/>
  <c r="V57" i="2"/>
  <c r="V59" i="2"/>
  <c r="W29" i="2"/>
  <c r="W61" i="2"/>
  <c r="Y56" i="2"/>
  <c r="Y57" i="2"/>
  <c r="Y59" i="2"/>
  <c r="Y29" i="2"/>
  <c r="Y61" i="2"/>
  <c r="Z56" i="2"/>
  <c r="Z57" i="2"/>
  <c r="Z59" i="2"/>
  <c r="Z29" i="2"/>
  <c r="Z61" i="2"/>
  <c r="AA61" i="2"/>
  <c r="U56" i="2"/>
  <c r="U57" i="2"/>
  <c r="T56" i="2"/>
  <c r="T57" i="2"/>
  <c r="S56" i="2"/>
  <c r="S57" i="2"/>
  <c r="S30" i="2"/>
  <c r="S31" i="2"/>
  <c r="R57" i="2"/>
  <c r="R58" i="2"/>
  <c r="S58" i="2"/>
  <c r="S60" i="2"/>
  <c r="T29" i="2"/>
  <c r="T24" i="2"/>
  <c r="U29" i="2"/>
  <c r="U24" i="2"/>
  <c r="V29" i="2"/>
  <c r="V24" i="2"/>
  <c r="S24" i="2"/>
  <c r="W24" i="2"/>
  <c r="X24" i="2"/>
  <c r="Y24" i="2"/>
  <c r="Z24" i="2"/>
  <c r="AA24" i="2"/>
  <c r="Q28" i="2"/>
  <c r="R29" i="2"/>
  <c r="S29" i="2"/>
  <c r="S59" i="2"/>
  <c r="T59" i="2"/>
  <c r="U58" i="2"/>
  <c r="T58" i="2"/>
  <c r="U59" i="2"/>
  <c r="I25" i="2"/>
  <c r="I56" i="2"/>
  <c r="I54" i="2"/>
  <c r="I57" i="2"/>
  <c r="I55" i="2"/>
  <c r="I59" i="2"/>
  <c r="H55" i="2"/>
  <c r="H59" i="2"/>
  <c r="I28" i="2"/>
  <c r="I29" i="2"/>
  <c r="I61" i="2"/>
  <c r="AP54" i="2"/>
  <c r="N25" i="2"/>
  <c r="N56" i="2"/>
  <c r="N54" i="2"/>
  <c r="N57" i="2"/>
  <c r="O25" i="2"/>
  <c r="O56" i="2"/>
  <c r="O54" i="2"/>
  <c r="O57" i="2"/>
  <c r="P25" i="2"/>
  <c r="P56" i="2"/>
  <c r="P54" i="2"/>
  <c r="P57" i="2"/>
  <c r="Q54" i="2"/>
  <c r="Q57" i="2"/>
  <c r="J25" i="2"/>
  <c r="J56" i="2"/>
  <c r="J54" i="2"/>
  <c r="J57" i="2"/>
  <c r="K25" i="2"/>
  <c r="K56" i="2"/>
  <c r="K54" i="2"/>
  <c r="K57" i="2"/>
  <c r="L25" i="2"/>
  <c r="L56" i="2"/>
  <c r="L54" i="2"/>
  <c r="L57" i="2"/>
  <c r="M25" i="2"/>
  <c r="M56" i="2"/>
  <c r="M54" i="2"/>
  <c r="M57" i="2"/>
  <c r="F55" i="2"/>
  <c r="F56" i="2"/>
  <c r="F57" i="2"/>
  <c r="E55" i="2"/>
  <c r="E56" i="2"/>
  <c r="E54" i="2"/>
  <c r="E57" i="2"/>
  <c r="D55" i="2"/>
  <c r="D56" i="2"/>
  <c r="D54" i="2"/>
  <c r="D57" i="2"/>
  <c r="C55" i="2"/>
  <c r="C56" i="2"/>
  <c r="C54" i="2"/>
  <c r="C57" i="2"/>
  <c r="D58" i="2"/>
  <c r="AT56" i="2"/>
  <c r="AS56" i="2"/>
  <c r="AQ56" i="2"/>
  <c r="AO24" i="2"/>
  <c r="H43" i="2"/>
  <c r="AQ24" i="2"/>
  <c r="I43" i="2"/>
  <c r="AS24" i="2"/>
  <c r="AT24" i="2"/>
  <c r="C47" i="2"/>
  <c r="AT52" i="2"/>
  <c r="AQ52" i="2"/>
  <c r="AO52" i="2"/>
  <c r="C45" i="2"/>
  <c r="AM52" i="2"/>
  <c r="AB52" i="2"/>
  <c r="R52" i="2"/>
  <c r="AA58" i="2"/>
  <c r="Z58" i="2"/>
  <c r="AB58" i="2"/>
  <c r="X58" i="2"/>
  <c r="W58" i="2"/>
  <c r="N55" i="2"/>
  <c r="N58" i="2"/>
  <c r="D59" i="2"/>
  <c r="V58" i="2"/>
  <c r="Y58" i="2"/>
  <c r="R59" i="2"/>
  <c r="G58" i="2"/>
  <c r="H58" i="2"/>
  <c r="H60" i="2"/>
  <c r="G59" i="2"/>
  <c r="G61" i="2"/>
  <c r="J28" i="2"/>
  <c r="J29" i="2"/>
  <c r="J55" i="2"/>
  <c r="J59" i="2"/>
  <c r="J61" i="2"/>
  <c r="K28" i="2"/>
  <c r="K29" i="2"/>
  <c r="K55" i="2"/>
  <c r="K59" i="2"/>
  <c r="K61" i="2"/>
  <c r="L28" i="2"/>
  <c r="L29" i="2"/>
  <c r="L55" i="2"/>
  <c r="L59" i="2"/>
  <c r="L61" i="2"/>
  <c r="M28" i="2"/>
  <c r="M29" i="2"/>
  <c r="M55" i="2"/>
  <c r="M59" i="2"/>
  <c r="M61" i="2"/>
  <c r="N28" i="2"/>
  <c r="N29" i="2"/>
  <c r="N59" i="2"/>
  <c r="N61" i="2"/>
  <c r="O28" i="2"/>
  <c r="O29" i="2"/>
  <c r="O55" i="2"/>
  <c r="O59" i="2"/>
  <c r="O61" i="2"/>
  <c r="P28" i="2"/>
  <c r="P29" i="2"/>
  <c r="P55" i="2"/>
  <c r="P59" i="2"/>
  <c r="P61" i="2"/>
  <c r="Q29" i="2"/>
  <c r="Q55" i="2"/>
  <c r="Q59" i="2"/>
  <c r="Q61" i="2"/>
  <c r="R61" i="2"/>
  <c r="H61" i="2"/>
  <c r="AP55" i="2"/>
  <c r="AQ55" i="2"/>
  <c r="AR55" i="2"/>
  <c r="AQ54" i="2"/>
  <c r="G60" i="2"/>
  <c r="C59" i="2"/>
  <c r="D28" i="2"/>
  <c r="D29" i="2"/>
  <c r="E59" i="2"/>
  <c r="E28" i="2"/>
  <c r="E29" i="2"/>
  <c r="F59" i="2"/>
  <c r="F28" i="2"/>
  <c r="F29" i="2"/>
  <c r="I58" i="2"/>
  <c r="I60" i="2"/>
  <c r="J58" i="2"/>
  <c r="J60" i="2"/>
  <c r="K58" i="2"/>
  <c r="K60" i="2"/>
  <c r="L58" i="2"/>
  <c r="L60" i="2"/>
  <c r="M58" i="2"/>
  <c r="M60" i="2"/>
  <c r="N60" i="2"/>
  <c r="O58" i="2"/>
  <c r="O60" i="2"/>
  <c r="P58" i="2"/>
  <c r="P60" i="2"/>
  <c r="Q58" i="2"/>
  <c r="Q60" i="2"/>
  <c r="R60" i="2"/>
  <c r="E58" i="2"/>
  <c r="F58" i="2"/>
  <c r="G29" i="2"/>
  <c r="C58" i="2"/>
  <c r="D48" i="2"/>
  <c r="C46" i="2"/>
  <c r="E44" i="2"/>
  <c r="D44" i="2"/>
  <c r="C44" i="2"/>
  <c r="G52" i="2"/>
  <c r="C18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AT19" i="2"/>
  <c r="AR19" i="2"/>
  <c r="C66" i="2"/>
  <c r="C67" i="2"/>
  <c r="C65" i="2"/>
  <c r="E40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P19" i="2"/>
  <c r="AQ19" i="2"/>
  <c r="J43" i="2"/>
  <c r="U60" i="2"/>
  <c r="U61" i="2"/>
  <c r="V61" i="2"/>
  <c r="AB30" i="2"/>
  <c r="T61" i="2"/>
  <c r="S61" i="2"/>
  <c r="V60" i="2"/>
  <c r="W60" i="2"/>
  <c r="AA60" i="2"/>
  <c r="AB60" i="2"/>
  <c r="Y60" i="2"/>
  <c r="Z60" i="2"/>
  <c r="X60" i="2"/>
  <c r="T60" i="2"/>
  <c r="AC28" i="2"/>
  <c r="AD28" i="2"/>
  <c r="AE28" i="2"/>
  <c r="AF28" i="2"/>
  <c r="AG28" i="2"/>
  <c r="AH28" i="2"/>
  <c r="AI28" i="2"/>
  <c r="AJ28" i="2"/>
  <c r="AK28" i="2"/>
  <c r="AL28" i="2"/>
  <c r="AL29" i="2"/>
  <c r="AE32" i="2"/>
  <c r="AF32" i="2"/>
  <c r="AG32" i="2"/>
  <c r="AH32" i="2"/>
  <c r="AI32" i="2"/>
  <c r="AJ32" i="2"/>
  <c r="AK32" i="2"/>
  <c r="AL32" i="2"/>
  <c r="AL57" i="2"/>
  <c r="AL58" i="2"/>
  <c r="AK57" i="2"/>
  <c r="AK58" i="2"/>
  <c r="AL60" i="2"/>
  <c r="AL59" i="2"/>
  <c r="AL61" i="2"/>
  <c r="AD29" i="2"/>
  <c r="AE29" i="2"/>
  <c r="AF29" i="2"/>
  <c r="AG29" i="2"/>
  <c r="AH29" i="2"/>
  <c r="AI29" i="2"/>
  <c r="AJ29" i="2"/>
  <c r="AK29" i="2"/>
  <c r="AM28" i="2"/>
  <c r="AM29" i="2"/>
  <c r="AC29" i="2"/>
  <c r="AF57" i="2"/>
  <c r="AF58" i="2"/>
  <c r="AE57" i="2"/>
  <c r="AE58" i="2"/>
  <c r="AF60" i="2"/>
  <c r="AG57" i="2"/>
  <c r="AG58" i="2"/>
  <c r="AG60" i="2"/>
  <c r="AH57" i="2"/>
  <c r="AH58" i="2"/>
  <c r="AH60" i="2"/>
  <c r="AF59" i="2"/>
  <c r="AF61" i="2"/>
  <c r="AG59" i="2"/>
  <c r="AG61" i="2"/>
  <c r="AH59" i="2"/>
  <c r="AH61" i="2"/>
  <c r="AD57" i="2"/>
  <c r="AD58" i="2"/>
  <c r="AC58" i="2"/>
  <c r="AD60" i="2"/>
  <c r="AE60" i="2"/>
  <c r="AD59" i="2"/>
  <c r="AD61" i="2"/>
  <c r="AE59" i="2"/>
  <c r="AE61" i="2"/>
  <c r="AN55" i="2"/>
  <c r="AI57" i="2"/>
  <c r="AI59" i="2"/>
  <c r="AI61" i="2"/>
  <c r="AJ57" i="2"/>
  <c r="AJ59" i="2"/>
  <c r="AJ61" i="2"/>
  <c r="AK59" i="2"/>
  <c r="AK61" i="2"/>
  <c r="AM32" i="2"/>
  <c r="AM59" i="2"/>
  <c r="AM61" i="2"/>
  <c r="AN28" i="2"/>
  <c r="AN29" i="2"/>
  <c r="AN57" i="2"/>
  <c r="AN59" i="2"/>
  <c r="AN61" i="2"/>
  <c r="AO28" i="2"/>
  <c r="AP28" i="2"/>
  <c r="AP29" i="2"/>
  <c r="AP57" i="2"/>
  <c r="AP59" i="2"/>
  <c r="AP61" i="2"/>
  <c r="AQ28" i="2"/>
  <c r="AQ29" i="2"/>
  <c r="AQ57" i="2"/>
  <c r="AQ59" i="2"/>
  <c r="AQ61" i="2"/>
  <c r="AR28" i="2"/>
  <c r="AR29" i="2"/>
  <c r="AR59" i="2"/>
  <c r="AR61" i="2"/>
  <c r="AS28" i="2"/>
  <c r="AS29" i="2"/>
  <c r="AS57" i="2"/>
  <c r="AS59" i="2"/>
  <c r="AS61" i="2"/>
  <c r="AT28" i="2"/>
  <c r="AT29" i="2"/>
  <c r="AT57" i="2"/>
  <c r="AT59" i="2"/>
  <c r="AT61" i="2"/>
  <c r="AP58" i="2"/>
  <c r="AP60" i="2"/>
  <c r="AR58" i="2"/>
  <c r="AR60" i="2"/>
  <c r="AS58" i="2"/>
  <c r="AS60" i="2"/>
  <c r="AT58" i="2"/>
  <c r="AT60" i="2"/>
  <c r="AJ58" i="2"/>
  <c r="AK60" i="2"/>
  <c r="AI58" i="2"/>
  <c r="AJ60" i="2"/>
  <c r="AI60" i="2"/>
  <c r="AO29" i="2"/>
  <c r="AO59" i="2"/>
  <c r="AO61" i="2"/>
  <c r="AM58" i="2"/>
  <c r="AM60" i="2"/>
  <c r="AN58" i="2"/>
  <c r="AN60" i="2"/>
  <c r="AO60" i="2"/>
  <c r="AQ58" i="2"/>
  <c r="AQ60" i="2"/>
  <c r="AC59" i="2"/>
  <c r="AC61" i="2"/>
  <c r="D50" i="2"/>
  <c r="AC60" i="2"/>
  <c r="D49" i="2"/>
  <c r="E37" i="14"/>
  <c r="E30" i="14"/>
  <c r="F37" i="14"/>
  <c r="E31" i="14"/>
  <c r="C37" i="14"/>
  <c r="C55" i="14"/>
  <c r="E32" i="14"/>
  <c r="D37" i="14"/>
  <c r="AJ19" i="14"/>
  <c r="AH19" i="14"/>
  <c r="AH30" i="14"/>
  <c r="C18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G44" i="14"/>
  <c r="AG60" i="14"/>
  <c r="AG23" i="14"/>
  <c r="AK23" i="14"/>
  <c r="AL23" i="14"/>
  <c r="AM23" i="14"/>
  <c r="AM25" i="14"/>
  <c r="AN23" i="14"/>
  <c r="AN25" i="14"/>
  <c r="AO23" i="14"/>
  <c r="AO25" i="14"/>
  <c r="AP23" i="14"/>
  <c r="AP25" i="14"/>
  <c r="AQ23" i="14"/>
  <c r="AQ25" i="14"/>
  <c r="AR23" i="14"/>
  <c r="AR25" i="14"/>
  <c r="AS23" i="14"/>
  <c r="AS25" i="14"/>
  <c r="AT23" i="14"/>
  <c r="AT25" i="14"/>
  <c r="AU23" i="14"/>
  <c r="AU25" i="14"/>
  <c r="AV23" i="14"/>
  <c r="AV25" i="14"/>
  <c r="AW23" i="14"/>
  <c r="AW25" i="14"/>
  <c r="AX23" i="14"/>
  <c r="AX25" i="14"/>
  <c r="AY23" i="14"/>
  <c r="AY25" i="14"/>
  <c r="AZ23" i="14"/>
  <c r="AZ25" i="14"/>
  <c r="BA23" i="14"/>
  <c r="BA25" i="14"/>
  <c r="BB23" i="14"/>
  <c r="BB25" i="14"/>
  <c r="BC23" i="14"/>
  <c r="BC25" i="14"/>
  <c r="BD23" i="14"/>
  <c r="BD25" i="14"/>
  <c r="BE23" i="14"/>
  <c r="BE25" i="14"/>
  <c r="BF23" i="14"/>
  <c r="BF25" i="14"/>
  <c r="BG23" i="14"/>
  <c r="BG25" i="14"/>
  <c r="BH23" i="14"/>
  <c r="BH25" i="14"/>
  <c r="BI23" i="14"/>
  <c r="BI25" i="14"/>
  <c r="BJ23" i="14"/>
  <c r="BJ25" i="14"/>
  <c r="BK23" i="14"/>
  <c r="BK25" i="14"/>
  <c r="BL23" i="14"/>
  <c r="BL25" i="14"/>
  <c r="BM23" i="14"/>
  <c r="BM25" i="14"/>
  <c r="BN23" i="14"/>
  <c r="BN25" i="14"/>
  <c r="BO23" i="14"/>
  <c r="BO25" i="14"/>
  <c r="BP23" i="14"/>
  <c r="BP25" i="14"/>
  <c r="BQ23" i="14"/>
  <c r="BQ25" i="14"/>
  <c r="BR23" i="14"/>
  <c r="BR25" i="14"/>
  <c r="BS23" i="14"/>
  <c r="BS25" i="14"/>
  <c r="BT23" i="14"/>
  <c r="BT25" i="14"/>
  <c r="BU23" i="14"/>
  <c r="BU25" i="14"/>
  <c r="BV23" i="14"/>
  <c r="BV25" i="14"/>
  <c r="BW23" i="14"/>
  <c r="BW25" i="14"/>
  <c r="BX23" i="14"/>
  <c r="BX25" i="14"/>
  <c r="BY23" i="14"/>
  <c r="BY25" i="14"/>
  <c r="BZ23" i="14"/>
  <c r="BZ25" i="14"/>
  <c r="CA23" i="14"/>
  <c r="CA25" i="14"/>
  <c r="CB23" i="14"/>
  <c r="CB25" i="14"/>
  <c r="CC23" i="14"/>
  <c r="CC25" i="14"/>
  <c r="CD23" i="14"/>
  <c r="CD25" i="14"/>
  <c r="CE23" i="14"/>
  <c r="CE25" i="14"/>
  <c r="CF23" i="14"/>
  <c r="CF25" i="14"/>
  <c r="CG23" i="14"/>
  <c r="CG25" i="14"/>
  <c r="CH23" i="14"/>
  <c r="CH25" i="14"/>
  <c r="CI23" i="14"/>
  <c r="CI25" i="14"/>
  <c r="CJ23" i="14"/>
  <c r="CJ25" i="14"/>
  <c r="CK23" i="14"/>
  <c r="CK25" i="14"/>
  <c r="CL23" i="14"/>
  <c r="CL25" i="14"/>
  <c r="CM23" i="14"/>
  <c r="CM25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BU24" i="14"/>
  <c r="BV24" i="14"/>
  <c r="BW24" i="14"/>
  <c r="BX24" i="14"/>
  <c r="BY24" i="14"/>
  <c r="BZ24" i="14"/>
  <c r="CA24" i="14"/>
  <c r="CB24" i="14"/>
  <c r="CC24" i="14"/>
  <c r="CD24" i="14"/>
  <c r="CE24" i="14"/>
  <c r="CF24" i="14"/>
  <c r="CG24" i="14"/>
  <c r="CH24" i="14"/>
  <c r="CI24" i="14"/>
  <c r="CJ24" i="14"/>
  <c r="CK24" i="14"/>
  <c r="CL24" i="14"/>
  <c r="CM24" i="14"/>
  <c r="CM46" i="14"/>
  <c r="AG46" i="14"/>
  <c r="AG45" i="14"/>
  <c r="AH45" i="14"/>
  <c r="AF44" i="14"/>
  <c r="AF60" i="14"/>
  <c r="AF23" i="14"/>
  <c r="AG25" i="14"/>
  <c r="AH23" i="14"/>
  <c r="AH25" i="14"/>
  <c r="AH46" i="14"/>
  <c r="AI45" i="14"/>
  <c r="AE44" i="14"/>
  <c r="AE60" i="14"/>
  <c r="AE23" i="14"/>
  <c r="AI23" i="14"/>
  <c r="AI25" i="14"/>
  <c r="AI46" i="14"/>
  <c r="AJ45" i="14"/>
  <c r="AJ23" i="14"/>
  <c r="AJ25" i="14"/>
  <c r="AJ46" i="14"/>
  <c r="AK45" i="14"/>
  <c r="AK25" i="14"/>
  <c r="AK46" i="14"/>
  <c r="AK41" i="14"/>
  <c r="CN24" i="14"/>
  <c r="CN46" i="14"/>
  <c r="CM44" i="14"/>
  <c r="CN44" i="14"/>
  <c r="CN47" i="14"/>
  <c r="CN49" i="14"/>
  <c r="CN23" i="14"/>
  <c r="CN25" i="14"/>
  <c r="CN51" i="14"/>
  <c r="CN48" i="14"/>
  <c r="CN50" i="14"/>
  <c r="D46" i="14"/>
  <c r="D44" i="14"/>
  <c r="D47" i="14"/>
  <c r="AI47" i="14"/>
  <c r="AJ47" i="14"/>
  <c r="AG27" i="14"/>
  <c r="AJ27" i="14"/>
  <c r="AJ29" i="14"/>
  <c r="C39" i="14"/>
  <c r="D39" i="14"/>
  <c r="D40" i="14"/>
  <c r="AD46" i="14"/>
  <c r="AH47" i="14"/>
  <c r="AH48" i="14"/>
  <c r="AK47" i="14"/>
  <c r="R46" i="14"/>
  <c r="R44" i="14"/>
  <c r="R47" i="14"/>
  <c r="R45" i="14"/>
  <c r="R48" i="14"/>
  <c r="R49" i="14"/>
  <c r="Q46" i="14"/>
  <c r="Q44" i="14"/>
  <c r="Q47" i="14"/>
  <c r="Q45" i="14"/>
  <c r="Q48" i="14"/>
  <c r="R60" i="14"/>
  <c r="R23" i="14"/>
  <c r="Q60" i="14"/>
  <c r="Q23" i="14"/>
  <c r="R25" i="14"/>
  <c r="R50" i="14"/>
  <c r="Q49" i="14"/>
  <c r="R51" i="14"/>
  <c r="AK49" i="14"/>
  <c r="AJ49" i="14"/>
  <c r="AK51" i="14"/>
  <c r="AG47" i="14"/>
  <c r="AG62" i="14"/>
  <c r="AH62" i="14"/>
  <c r="AI48" i="14"/>
  <c r="AI50" i="14"/>
  <c r="AJ48" i="14"/>
  <c r="AJ50" i="14"/>
  <c r="AK48" i="14"/>
  <c r="AK50" i="14"/>
  <c r="AI49" i="14"/>
  <c r="AH49" i="14"/>
  <c r="AI51" i="14"/>
  <c r="AJ51" i="14"/>
  <c r="AG48" i="14"/>
  <c r="AH50" i="14"/>
  <c r="AD44" i="14"/>
  <c r="AD60" i="14"/>
  <c r="AD23" i="14"/>
  <c r="H46" i="14"/>
  <c r="H44" i="14"/>
  <c r="H47" i="14"/>
  <c r="I46" i="14"/>
  <c r="I44" i="14"/>
  <c r="I47" i="14"/>
  <c r="J46" i="14"/>
  <c r="J44" i="14"/>
  <c r="J47" i="14"/>
  <c r="K46" i="14"/>
  <c r="K44" i="14"/>
  <c r="K47" i="14"/>
  <c r="L46" i="14"/>
  <c r="L44" i="14"/>
  <c r="L47" i="14"/>
  <c r="M46" i="14"/>
  <c r="M44" i="14"/>
  <c r="M47" i="14"/>
  <c r="N46" i="14"/>
  <c r="N44" i="14"/>
  <c r="N47" i="14"/>
  <c r="O46" i="14"/>
  <c r="O44" i="14"/>
  <c r="O47" i="14"/>
  <c r="P46" i="14"/>
  <c r="P44" i="14"/>
  <c r="P47" i="14"/>
  <c r="S46" i="14"/>
  <c r="S44" i="14"/>
  <c r="S47" i="14"/>
  <c r="T46" i="14"/>
  <c r="T44" i="14"/>
  <c r="T47" i="14"/>
  <c r="U46" i="14"/>
  <c r="U44" i="14"/>
  <c r="U47" i="14"/>
  <c r="V46" i="14"/>
  <c r="V44" i="14"/>
  <c r="V47" i="14"/>
  <c r="W46" i="14"/>
  <c r="W44" i="14"/>
  <c r="W47" i="14"/>
  <c r="X46" i="14"/>
  <c r="X44" i="14"/>
  <c r="X47" i="14"/>
  <c r="Y46" i="14"/>
  <c r="Y44" i="14"/>
  <c r="Y47" i="14"/>
  <c r="Z46" i="14"/>
  <c r="Z44" i="14"/>
  <c r="Z47" i="14"/>
  <c r="AA46" i="14"/>
  <c r="AA44" i="14"/>
  <c r="AA47" i="14"/>
  <c r="AB46" i="14"/>
  <c r="AB44" i="14"/>
  <c r="AB47" i="14"/>
  <c r="AC46" i="14"/>
  <c r="AC44" i="14"/>
  <c r="AC47" i="14"/>
  <c r="AD47" i="14"/>
  <c r="AE46" i="14"/>
  <c r="AE47" i="14"/>
  <c r="AF46" i="14"/>
  <c r="AF47" i="14"/>
  <c r="G46" i="14"/>
  <c r="G44" i="14"/>
  <c r="G47" i="14"/>
  <c r="F46" i="14"/>
  <c r="F44" i="14"/>
  <c r="F47" i="14"/>
  <c r="E46" i="14"/>
  <c r="E44" i="14"/>
  <c r="E47" i="14"/>
  <c r="C46" i="14"/>
  <c r="C44" i="14"/>
  <c r="C47" i="14"/>
  <c r="AG49" i="14"/>
  <c r="AH51" i="14"/>
  <c r="AK27" i="14"/>
  <c r="D45" i="14"/>
  <c r="D49" i="14"/>
  <c r="D60" i="14"/>
  <c r="D23" i="14"/>
  <c r="D25" i="14"/>
  <c r="C45" i="14"/>
  <c r="C49" i="14"/>
  <c r="D51" i="14"/>
  <c r="E45" i="14"/>
  <c r="E49" i="14"/>
  <c r="E60" i="14"/>
  <c r="E23" i="14"/>
  <c r="E25" i="14"/>
  <c r="E51" i="14"/>
  <c r="F45" i="14"/>
  <c r="F49" i="14"/>
  <c r="F60" i="14"/>
  <c r="F23" i="14"/>
  <c r="F25" i="14"/>
  <c r="F51" i="14"/>
  <c r="G45" i="14"/>
  <c r="G49" i="14"/>
  <c r="G60" i="14"/>
  <c r="G23" i="14"/>
  <c r="G25" i="14"/>
  <c r="G51" i="14"/>
  <c r="H45" i="14"/>
  <c r="H49" i="14"/>
  <c r="H60" i="14"/>
  <c r="H23" i="14"/>
  <c r="H25" i="14"/>
  <c r="H51" i="14"/>
  <c r="I45" i="14"/>
  <c r="I49" i="14"/>
  <c r="I60" i="14"/>
  <c r="I23" i="14"/>
  <c r="I25" i="14"/>
  <c r="I51" i="14"/>
  <c r="J45" i="14"/>
  <c r="J49" i="14"/>
  <c r="J60" i="14"/>
  <c r="J23" i="14"/>
  <c r="J25" i="14"/>
  <c r="J51" i="14"/>
  <c r="K45" i="14"/>
  <c r="K49" i="14"/>
  <c r="K60" i="14"/>
  <c r="K23" i="14"/>
  <c r="K25" i="14"/>
  <c r="K51" i="14"/>
  <c r="L45" i="14"/>
  <c r="L49" i="14"/>
  <c r="L60" i="14"/>
  <c r="L23" i="14"/>
  <c r="L25" i="14"/>
  <c r="L51" i="14"/>
  <c r="M45" i="14"/>
  <c r="M49" i="14"/>
  <c r="M60" i="14"/>
  <c r="M23" i="14"/>
  <c r="M25" i="14"/>
  <c r="M51" i="14"/>
  <c r="N45" i="14"/>
  <c r="N49" i="14"/>
  <c r="N60" i="14"/>
  <c r="N23" i="14"/>
  <c r="N25" i="14"/>
  <c r="N51" i="14"/>
  <c r="O45" i="14"/>
  <c r="O49" i="14"/>
  <c r="O60" i="14"/>
  <c r="O23" i="14"/>
  <c r="O25" i="14"/>
  <c r="O51" i="14"/>
  <c r="P45" i="14"/>
  <c r="P49" i="14"/>
  <c r="P60" i="14"/>
  <c r="P23" i="14"/>
  <c r="P25" i="14"/>
  <c r="P51" i="14"/>
  <c r="Q25" i="14"/>
  <c r="Q51" i="14"/>
  <c r="S45" i="14"/>
  <c r="S49" i="14"/>
  <c r="S60" i="14"/>
  <c r="S23" i="14"/>
  <c r="S25" i="14"/>
  <c r="S51" i="14"/>
  <c r="T45" i="14"/>
  <c r="T49" i="14"/>
  <c r="T60" i="14"/>
  <c r="T23" i="14"/>
  <c r="T25" i="14"/>
  <c r="T51" i="14"/>
  <c r="U45" i="14"/>
  <c r="U49" i="14"/>
  <c r="U60" i="14"/>
  <c r="U23" i="14"/>
  <c r="U25" i="14"/>
  <c r="U51" i="14"/>
  <c r="V45" i="14"/>
  <c r="V49" i="14"/>
  <c r="V60" i="14"/>
  <c r="V23" i="14"/>
  <c r="V25" i="14"/>
  <c r="V51" i="14"/>
  <c r="W45" i="14"/>
  <c r="W49" i="14"/>
  <c r="W60" i="14"/>
  <c r="W23" i="14"/>
  <c r="W25" i="14"/>
  <c r="W51" i="14"/>
  <c r="X45" i="14"/>
  <c r="X49" i="14"/>
  <c r="X60" i="14"/>
  <c r="X23" i="14"/>
  <c r="X25" i="14"/>
  <c r="X51" i="14"/>
  <c r="Y45" i="14"/>
  <c r="Y49" i="14"/>
  <c r="Y60" i="14"/>
  <c r="Y23" i="14"/>
  <c r="Y25" i="14"/>
  <c r="Y51" i="14"/>
  <c r="Z45" i="14"/>
  <c r="Z49" i="14"/>
  <c r="Z60" i="14"/>
  <c r="Z23" i="14"/>
  <c r="Z25" i="14"/>
  <c r="Z51" i="14"/>
  <c r="AA45" i="14"/>
  <c r="AA49" i="14"/>
  <c r="AA60" i="14"/>
  <c r="AA23" i="14"/>
  <c r="AA25" i="14"/>
  <c r="AA51" i="14"/>
  <c r="AB45" i="14"/>
  <c r="AB49" i="14"/>
  <c r="AB60" i="14"/>
  <c r="AB23" i="14"/>
  <c r="AB25" i="14"/>
  <c r="AB51" i="14"/>
  <c r="AC45" i="14"/>
  <c r="AC49" i="14"/>
  <c r="AC60" i="14"/>
  <c r="AC23" i="14"/>
  <c r="AC25" i="14"/>
  <c r="AC51" i="14"/>
  <c r="AD45" i="14"/>
  <c r="AD49" i="14"/>
  <c r="AD25" i="14"/>
  <c r="AD51" i="14"/>
  <c r="AE45" i="14"/>
  <c r="AE49" i="14"/>
  <c r="AE25" i="14"/>
  <c r="AE51" i="14"/>
  <c r="AF45" i="14"/>
  <c r="AF49" i="14"/>
  <c r="AF25" i="14"/>
  <c r="AF51" i="14"/>
  <c r="AG51" i="14"/>
  <c r="AD27" i="14"/>
  <c r="AH27" i="14"/>
  <c r="AH29" i="14"/>
  <c r="AI27" i="14"/>
  <c r="AF27" i="14"/>
  <c r="AI29" i="14"/>
  <c r="AK62" i="14"/>
  <c r="AH32" i="14"/>
  <c r="AE27" i="14"/>
  <c r="CP51" i="14"/>
  <c r="CQ51" i="14"/>
  <c r="CR51" i="14"/>
  <c r="CS51" i="14"/>
  <c r="CT51" i="14"/>
  <c r="CU51" i="14"/>
  <c r="CV51" i="14"/>
  <c r="CW51" i="14"/>
  <c r="CX51" i="14"/>
  <c r="CY51" i="14"/>
  <c r="CZ51" i="14"/>
  <c r="DA51" i="14"/>
  <c r="DB51" i="14"/>
  <c r="DC51" i="14"/>
  <c r="DD51" i="14"/>
  <c r="DE51" i="14"/>
  <c r="DF51" i="14"/>
  <c r="DG51" i="14"/>
  <c r="DH51" i="14"/>
  <c r="DI51" i="14"/>
  <c r="DJ51" i="14"/>
  <c r="DK51" i="14"/>
  <c r="DL51" i="14"/>
  <c r="DM51" i="14"/>
  <c r="DN51" i="14"/>
  <c r="DO51" i="14"/>
  <c r="DP51" i="14"/>
  <c r="DQ51" i="14"/>
  <c r="DR51" i="14"/>
  <c r="DS51" i="14"/>
  <c r="DT51" i="14"/>
  <c r="DU51" i="14"/>
  <c r="DV51" i="14"/>
  <c r="DW51" i="14"/>
  <c r="DX51" i="14"/>
  <c r="DY51" i="14"/>
  <c r="DZ51" i="14"/>
  <c r="EA51" i="14"/>
  <c r="EB51" i="14"/>
  <c r="EC51" i="14"/>
  <c r="ED51" i="14"/>
  <c r="EE51" i="14"/>
  <c r="EF51" i="14"/>
  <c r="EG51" i="14"/>
  <c r="EH51" i="14"/>
  <c r="EI51" i="14"/>
  <c r="EJ51" i="14"/>
  <c r="EK51" i="14"/>
  <c r="EL51" i="14"/>
  <c r="EM51" i="14"/>
  <c r="EN51" i="14"/>
  <c r="EO51" i="14"/>
  <c r="EP51" i="14"/>
  <c r="EQ51" i="14"/>
  <c r="ER51" i="14"/>
  <c r="ES51" i="14"/>
  <c r="ET51" i="14"/>
  <c r="EU51" i="14"/>
  <c r="EV51" i="14"/>
  <c r="EW51" i="14"/>
  <c r="EX51" i="14"/>
  <c r="EY51" i="14"/>
  <c r="EZ51" i="14"/>
  <c r="FA51" i="14"/>
  <c r="FB51" i="14"/>
  <c r="FC51" i="14"/>
  <c r="FD51" i="14"/>
  <c r="FE51" i="14"/>
  <c r="FF51" i="14"/>
  <c r="FG51" i="14"/>
  <c r="FH51" i="14"/>
  <c r="FI51" i="14"/>
  <c r="FJ51" i="14"/>
  <c r="FK51" i="14"/>
  <c r="FL51" i="14"/>
  <c r="FM51" i="14"/>
  <c r="FN51" i="14"/>
  <c r="FO51" i="14"/>
  <c r="FP51" i="14"/>
  <c r="FQ51" i="14"/>
  <c r="FR51" i="14"/>
  <c r="FS51" i="14"/>
  <c r="FT51" i="14"/>
  <c r="FU51" i="14"/>
  <c r="FV51" i="14"/>
  <c r="FW51" i="14"/>
  <c r="FX51" i="14"/>
  <c r="FY51" i="14"/>
  <c r="FZ51" i="14"/>
  <c r="GA51" i="14"/>
  <c r="GB51" i="14"/>
  <c r="GC51" i="14"/>
  <c r="GD51" i="14"/>
  <c r="GE51" i="14"/>
  <c r="GF51" i="14"/>
  <c r="GG51" i="14"/>
  <c r="GH51" i="14"/>
  <c r="GI51" i="14"/>
  <c r="GJ51" i="14"/>
  <c r="GK51" i="14"/>
  <c r="GL51" i="14"/>
  <c r="GM51" i="14"/>
  <c r="GN51" i="14"/>
  <c r="GO51" i="14"/>
  <c r="GP51" i="14"/>
  <c r="GQ51" i="14"/>
  <c r="GR51" i="14"/>
  <c r="GS51" i="14"/>
  <c r="GT51" i="14"/>
  <c r="GU51" i="14"/>
  <c r="GV51" i="14"/>
  <c r="GW51" i="14"/>
  <c r="GX51" i="14"/>
  <c r="GY51" i="14"/>
  <c r="GZ51" i="14"/>
  <c r="HA51" i="14"/>
  <c r="HB51" i="14"/>
  <c r="HC51" i="14"/>
  <c r="HD51" i="14"/>
  <c r="HE51" i="14"/>
  <c r="HF51" i="14"/>
  <c r="HG51" i="14"/>
  <c r="HH51" i="14"/>
  <c r="HI51" i="14"/>
  <c r="HJ51" i="14"/>
  <c r="HK51" i="14"/>
  <c r="HL51" i="14"/>
  <c r="HM51" i="14"/>
  <c r="HN51" i="14"/>
  <c r="HO51" i="14"/>
  <c r="HP51" i="14"/>
  <c r="HQ51" i="14"/>
  <c r="HR51" i="14"/>
  <c r="HS51" i="14"/>
  <c r="HT51" i="14"/>
  <c r="HU51" i="14"/>
  <c r="HV51" i="14"/>
  <c r="HW51" i="14"/>
  <c r="HX51" i="14"/>
  <c r="HY51" i="14"/>
  <c r="HZ51" i="14"/>
  <c r="IA51" i="14"/>
  <c r="IB51" i="14"/>
  <c r="IC51" i="14"/>
  <c r="ID51" i="14"/>
  <c r="IE51" i="14"/>
  <c r="IF51" i="14"/>
  <c r="IG51" i="14"/>
  <c r="IH51" i="14"/>
  <c r="II51" i="14"/>
  <c r="IJ51" i="14"/>
  <c r="IK51" i="14"/>
  <c r="IL51" i="14"/>
  <c r="IM51" i="14"/>
  <c r="IN51" i="14"/>
  <c r="IO51" i="14"/>
  <c r="IP51" i="14"/>
  <c r="IQ51" i="14"/>
  <c r="IR51" i="14"/>
  <c r="IS51" i="14"/>
  <c r="IT51" i="14"/>
  <c r="IU51" i="14"/>
  <c r="IV51" i="14"/>
  <c r="D48" i="14"/>
  <c r="C48" i="14"/>
  <c r="D50" i="14"/>
  <c r="E48" i="14"/>
  <c r="E50" i="14"/>
  <c r="F48" i="14"/>
  <c r="F50" i="14"/>
  <c r="G48" i="14"/>
  <c r="G50" i="14"/>
  <c r="H48" i="14"/>
  <c r="H50" i="14"/>
  <c r="I48" i="14"/>
  <c r="I50" i="14"/>
  <c r="J48" i="14"/>
  <c r="J50" i="14"/>
  <c r="K48" i="14"/>
  <c r="K50" i="14"/>
  <c r="L48" i="14"/>
  <c r="L50" i="14"/>
  <c r="M48" i="14"/>
  <c r="M50" i="14"/>
  <c r="N48" i="14"/>
  <c r="N50" i="14"/>
  <c r="O48" i="14"/>
  <c r="O50" i="14"/>
  <c r="P48" i="14"/>
  <c r="P50" i="14"/>
  <c r="Q50" i="14"/>
  <c r="S48" i="14"/>
  <c r="S50" i="14"/>
  <c r="T48" i="14"/>
  <c r="T50" i="14"/>
  <c r="U48" i="14"/>
  <c r="U50" i="14"/>
  <c r="V48" i="14"/>
  <c r="V50" i="14"/>
  <c r="W48" i="14"/>
  <c r="W50" i="14"/>
  <c r="X48" i="14"/>
  <c r="X50" i="14"/>
  <c r="Y48" i="14"/>
  <c r="Y50" i="14"/>
  <c r="Z48" i="14"/>
  <c r="Z50" i="14"/>
  <c r="AA48" i="14"/>
  <c r="AA50" i="14"/>
  <c r="AB48" i="14"/>
  <c r="AB50" i="14"/>
  <c r="AC48" i="14"/>
  <c r="AC50" i="14"/>
  <c r="AD48" i="14"/>
  <c r="AD50" i="14"/>
  <c r="AE48" i="14"/>
  <c r="AE50" i="14"/>
  <c r="AF48" i="14"/>
  <c r="AF50" i="14"/>
  <c r="AG50" i="14"/>
  <c r="AK29" i="14"/>
  <c r="AJ60" i="14"/>
  <c r="AK60" i="14"/>
  <c r="AJ61" i="14"/>
  <c r="AK61" i="14"/>
  <c r="AJ62" i="14"/>
  <c r="AI61" i="14"/>
  <c r="AH61" i="14"/>
  <c r="CO47" i="14"/>
  <c r="CP47" i="14"/>
  <c r="CQ47" i="14"/>
  <c r="CR47" i="14"/>
  <c r="CS47" i="14"/>
  <c r="CT47" i="14"/>
  <c r="CU47" i="14"/>
  <c r="CV47" i="14"/>
  <c r="CW47" i="14"/>
  <c r="CX47" i="14"/>
  <c r="CY47" i="14"/>
  <c r="CZ47" i="14"/>
  <c r="DA47" i="14"/>
  <c r="DB47" i="14"/>
  <c r="DC47" i="14"/>
  <c r="DD47" i="14"/>
  <c r="DE47" i="14"/>
  <c r="DF47" i="14"/>
  <c r="DG47" i="14"/>
  <c r="DH47" i="14"/>
  <c r="DI47" i="14"/>
  <c r="DJ47" i="14"/>
  <c r="DK47" i="14"/>
  <c r="DL47" i="14"/>
  <c r="DM47" i="14"/>
  <c r="DN47" i="14"/>
  <c r="DO47" i="14"/>
  <c r="DP47" i="14"/>
  <c r="DQ47" i="14"/>
  <c r="DR47" i="14"/>
  <c r="DS47" i="14"/>
  <c r="DT47" i="14"/>
  <c r="DU47" i="14"/>
  <c r="DV47" i="14"/>
  <c r="DW47" i="14"/>
  <c r="DX47" i="14"/>
  <c r="DY47" i="14"/>
  <c r="DZ47" i="14"/>
  <c r="EA47" i="14"/>
  <c r="EB47" i="14"/>
  <c r="EC47" i="14"/>
  <c r="ED47" i="14"/>
  <c r="EE47" i="14"/>
  <c r="EF47" i="14"/>
  <c r="EG47" i="14"/>
  <c r="EH47" i="14"/>
  <c r="EI47" i="14"/>
  <c r="EJ47" i="14"/>
  <c r="EK47" i="14"/>
  <c r="EL47" i="14"/>
  <c r="EM47" i="14"/>
  <c r="EN47" i="14"/>
  <c r="EO47" i="14"/>
  <c r="EP47" i="14"/>
  <c r="EQ47" i="14"/>
  <c r="ER47" i="14"/>
  <c r="ES47" i="14"/>
  <c r="ET47" i="14"/>
  <c r="EU47" i="14"/>
  <c r="EV47" i="14"/>
  <c r="EW47" i="14"/>
  <c r="EX47" i="14"/>
  <c r="EY47" i="14"/>
  <c r="EZ47" i="14"/>
  <c r="FA47" i="14"/>
  <c r="FB47" i="14"/>
  <c r="FC47" i="14"/>
  <c r="FD47" i="14"/>
  <c r="FE47" i="14"/>
  <c r="FF47" i="14"/>
  <c r="FG47" i="14"/>
  <c r="FH47" i="14"/>
  <c r="FI47" i="14"/>
  <c r="FJ47" i="14"/>
  <c r="FK47" i="14"/>
  <c r="FL47" i="14"/>
  <c r="FM47" i="14"/>
  <c r="FN47" i="14"/>
  <c r="FO47" i="14"/>
  <c r="FP47" i="14"/>
  <c r="FQ47" i="14"/>
  <c r="FR47" i="14"/>
  <c r="FS47" i="14"/>
  <c r="FT47" i="14"/>
  <c r="FU47" i="14"/>
  <c r="FV47" i="14"/>
  <c r="FW47" i="14"/>
  <c r="FX47" i="14"/>
  <c r="FY47" i="14"/>
  <c r="FZ47" i="14"/>
  <c r="GA47" i="14"/>
  <c r="GB47" i="14"/>
  <c r="GC47" i="14"/>
  <c r="GD47" i="14"/>
  <c r="GE47" i="14"/>
  <c r="GF47" i="14"/>
  <c r="GG47" i="14"/>
  <c r="GH47" i="14"/>
  <c r="GI47" i="14"/>
  <c r="GJ47" i="14"/>
  <c r="GK47" i="14"/>
  <c r="GL47" i="14"/>
  <c r="GM47" i="14"/>
  <c r="GN47" i="14"/>
  <c r="GO47" i="14"/>
  <c r="GP47" i="14"/>
  <c r="GQ47" i="14"/>
  <c r="GR47" i="14"/>
  <c r="GS47" i="14"/>
  <c r="GT47" i="14"/>
  <c r="GU47" i="14"/>
  <c r="GV47" i="14"/>
  <c r="GW47" i="14"/>
  <c r="GX47" i="14"/>
  <c r="GY47" i="14"/>
  <c r="GZ47" i="14"/>
  <c r="HA47" i="14"/>
  <c r="HB47" i="14"/>
  <c r="HC47" i="14"/>
  <c r="HD47" i="14"/>
  <c r="HE47" i="14"/>
  <c r="HF47" i="14"/>
  <c r="HG47" i="14"/>
  <c r="HH47" i="14"/>
  <c r="HI47" i="14"/>
  <c r="HJ47" i="14"/>
  <c r="HK47" i="14"/>
  <c r="HL47" i="14"/>
  <c r="HM47" i="14"/>
  <c r="HN47" i="14"/>
  <c r="HO47" i="14"/>
  <c r="HP47" i="14"/>
  <c r="HQ47" i="14"/>
  <c r="HR47" i="14"/>
  <c r="HS47" i="14"/>
  <c r="HT47" i="14"/>
  <c r="HU47" i="14"/>
  <c r="HV47" i="14"/>
  <c r="HW47" i="14"/>
  <c r="HX47" i="14"/>
  <c r="HY47" i="14"/>
  <c r="HZ47" i="14"/>
  <c r="IA47" i="14"/>
  <c r="IB47" i="14"/>
  <c r="IC47" i="14"/>
  <c r="ID47" i="14"/>
  <c r="IE47" i="14"/>
  <c r="IF47" i="14"/>
  <c r="IG47" i="14"/>
  <c r="IH47" i="14"/>
  <c r="II47" i="14"/>
  <c r="IJ47" i="14"/>
  <c r="IK47" i="14"/>
  <c r="IL47" i="14"/>
  <c r="IM47" i="14"/>
  <c r="IN47" i="14"/>
  <c r="IO47" i="14"/>
  <c r="IP47" i="14"/>
  <c r="IQ47" i="14"/>
  <c r="IR47" i="14"/>
  <c r="IS47" i="14"/>
  <c r="IT47" i="14"/>
  <c r="IU47" i="14"/>
  <c r="IV47" i="14"/>
  <c r="AI62" i="14"/>
  <c r="C38" i="14"/>
  <c r="C25" i="14"/>
  <c r="E33" i="14"/>
  <c r="E34" i="14"/>
  <c r="D38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C62" i="14"/>
  <c r="CO60" i="14"/>
  <c r="CP60" i="14"/>
  <c r="CQ60" i="14"/>
  <c r="CR60" i="14"/>
  <c r="CS60" i="14"/>
  <c r="CT60" i="14"/>
  <c r="CU60" i="14"/>
  <c r="CV60" i="14"/>
  <c r="CW60" i="14"/>
  <c r="CX60" i="14"/>
  <c r="CY60" i="14"/>
  <c r="CZ60" i="14"/>
  <c r="DA60" i="14"/>
  <c r="DB60" i="14"/>
  <c r="DC60" i="14"/>
  <c r="DD60" i="14"/>
  <c r="DE60" i="14"/>
  <c r="DF60" i="14"/>
  <c r="DG60" i="14"/>
  <c r="DH60" i="14"/>
  <c r="DI60" i="14"/>
  <c r="DJ60" i="14"/>
  <c r="DK60" i="14"/>
  <c r="DL60" i="14"/>
  <c r="DM60" i="14"/>
  <c r="DN60" i="14"/>
  <c r="DO60" i="14"/>
  <c r="DP60" i="14"/>
  <c r="DQ60" i="14"/>
  <c r="DR60" i="14"/>
  <c r="DS60" i="14"/>
  <c r="DT60" i="14"/>
  <c r="DU60" i="14"/>
  <c r="DV60" i="14"/>
  <c r="DW60" i="14"/>
  <c r="DX60" i="14"/>
  <c r="DY60" i="14"/>
  <c r="DZ60" i="14"/>
  <c r="EA60" i="14"/>
  <c r="EB60" i="14"/>
  <c r="EC60" i="14"/>
  <c r="ED60" i="14"/>
  <c r="EE60" i="14"/>
  <c r="EF60" i="14"/>
  <c r="EG60" i="14"/>
  <c r="EH60" i="14"/>
  <c r="EI60" i="14"/>
  <c r="EJ60" i="14"/>
  <c r="EK60" i="14"/>
  <c r="EL60" i="14"/>
  <c r="EM60" i="14"/>
  <c r="EN60" i="14"/>
  <c r="EO60" i="14"/>
  <c r="EP60" i="14"/>
  <c r="EQ60" i="14"/>
  <c r="ER60" i="14"/>
  <c r="ES60" i="14"/>
  <c r="ET60" i="14"/>
  <c r="EU60" i="14"/>
  <c r="EV60" i="14"/>
  <c r="EW60" i="14"/>
  <c r="EX60" i="14"/>
  <c r="EY60" i="14"/>
  <c r="EZ60" i="14"/>
  <c r="FA60" i="14"/>
  <c r="FB60" i="14"/>
  <c r="FC60" i="14"/>
  <c r="FD60" i="14"/>
  <c r="FE60" i="14"/>
  <c r="FF60" i="14"/>
  <c r="FG60" i="14"/>
  <c r="FH60" i="14"/>
  <c r="FI60" i="14"/>
  <c r="FJ60" i="14"/>
  <c r="FK60" i="14"/>
  <c r="FL60" i="14"/>
  <c r="FM60" i="14"/>
  <c r="FN60" i="14"/>
  <c r="FO60" i="14"/>
  <c r="FP60" i="14"/>
  <c r="FQ60" i="14"/>
  <c r="FR60" i="14"/>
  <c r="FS60" i="14"/>
  <c r="FT60" i="14"/>
  <c r="FU60" i="14"/>
  <c r="FV60" i="14"/>
  <c r="FW60" i="14"/>
  <c r="FX60" i="14"/>
  <c r="FY60" i="14"/>
  <c r="FZ60" i="14"/>
  <c r="GA60" i="14"/>
  <c r="GB60" i="14"/>
  <c r="GC60" i="14"/>
  <c r="GD60" i="14"/>
  <c r="GE60" i="14"/>
  <c r="GF60" i="14"/>
  <c r="GG60" i="14"/>
  <c r="GH60" i="14"/>
  <c r="GI60" i="14"/>
  <c r="GJ60" i="14"/>
  <c r="GK60" i="14"/>
  <c r="GL60" i="14"/>
  <c r="GM60" i="14"/>
  <c r="GN60" i="14"/>
  <c r="GO60" i="14"/>
  <c r="GP60" i="14"/>
  <c r="GQ60" i="14"/>
  <c r="GR60" i="14"/>
  <c r="GS60" i="14"/>
  <c r="GT60" i="14"/>
  <c r="GU60" i="14"/>
  <c r="GV60" i="14"/>
  <c r="GW60" i="14"/>
  <c r="GX60" i="14"/>
  <c r="GY60" i="14"/>
  <c r="GZ60" i="14"/>
  <c r="HA60" i="14"/>
  <c r="HB60" i="14"/>
  <c r="HC60" i="14"/>
  <c r="HD60" i="14"/>
  <c r="HE60" i="14"/>
  <c r="HF60" i="14"/>
  <c r="HG60" i="14"/>
  <c r="HH60" i="14"/>
  <c r="HI60" i="14"/>
  <c r="HJ60" i="14"/>
  <c r="HK60" i="14"/>
  <c r="HL60" i="14"/>
  <c r="HM60" i="14"/>
  <c r="HN60" i="14"/>
  <c r="HO60" i="14"/>
  <c r="HP60" i="14"/>
  <c r="HQ60" i="14"/>
  <c r="HR60" i="14"/>
  <c r="HS60" i="14"/>
  <c r="HT60" i="14"/>
  <c r="HU60" i="14"/>
  <c r="HV60" i="14"/>
  <c r="HW60" i="14"/>
  <c r="HX60" i="14"/>
  <c r="HY60" i="14"/>
  <c r="HZ60" i="14"/>
  <c r="IA60" i="14"/>
  <c r="IB60" i="14"/>
  <c r="IC60" i="14"/>
  <c r="ID60" i="14"/>
  <c r="IE60" i="14"/>
  <c r="IF60" i="14"/>
  <c r="IG60" i="14"/>
  <c r="IH60" i="14"/>
  <c r="II60" i="14"/>
  <c r="IJ60" i="14"/>
  <c r="IK60" i="14"/>
  <c r="IL60" i="14"/>
  <c r="IM60" i="14"/>
  <c r="IN60" i="14"/>
  <c r="IO60" i="14"/>
  <c r="IP60" i="14"/>
  <c r="IQ60" i="14"/>
  <c r="IR60" i="14"/>
  <c r="IS60" i="14"/>
  <c r="IT60" i="14"/>
  <c r="IU60" i="14"/>
  <c r="IV60" i="14"/>
  <c r="CN61" i="14"/>
  <c r="K61" i="14"/>
  <c r="G37" i="14"/>
  <c r="C54" i="14"/>
  <c r="AG61" i="14"/>
  <c r="C61" i="14"/>
  <c r="C53" i="14"/>
  <c r="C60" i="14"/>
  <c r="C56" i="14"/>
  <c r="C57" i="14"/>
  <c r="D61" i="14"/>
  <c r="AC61" i="14"/>
  <c r="E61" i="14"/>
  <c r="F61" i="14"/>
  <c r="G61" i="14"/>
  <c r="H61" i="14"/>
  <c r="I61" i="14"/>
  <c r="J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D61" i="14"/>
  <c r="AE61" i="14"/>
  <c r="AF61" i="14"/>
  <c r="CO51" i="14"/>
  <c r="CE44" i="14"/>
  <c r="CE60" i="14"/>
  <c r="CE45" i="14"/>
  <c r="CE61" i="14"/>
  <c r="CE46" i="14"/>
  <c r="CE47" i="14"/>
  <c r="CE62" i="14"/>
  <c r="BV32" i="14"/>
  <c r="CM47" i="14"/>
  <c r="CM62" i="14"/>
  <c r="AM46" i="14"/>
  <c r="AM44" i="14"/>
  <c r="AM47" i="14"/>
  <c r="AM62" i="14"/>
  <c r="AN46" i="14"/>
  <c r="AN44" i="14"/>
  <c r="AN47" i="14"/>
  <c r="AN62" i="14"/>
  <c r="AO46" i="14"/>
  <c r="AO44" i="14"/>
  <c r="AO47" i="14"/>
  <c r="AO62" i="14"/>
  <c r="AP46" i="14"/>
  <c r="AP44" i="14"/>
  <c r="AP47" i="14"/>
  <c r="AP62" i="14"/>
  <c r="AQ46" i="14"/>
  <c r="AQ44" i="14"/>
  <c r="AQ47" i="14"/>
  <c r="AQ62" i="14"/>
  <c r="AR46" i="14"/>
  <c r="AR44" i="14"/>
  <c r="AR47" i="14"/>
  <c r="AR62" i="14"/>
  <c r="AS46" i="14"/>
  <c r="AS44" i="14"/>
  <c r="AS47" i="14"/>
  <c r="AS62" i="14"/>
  <c r="AT46" i="14"/>
  <c r="AT44" i="14"/>
  <c r="AT47" i="14"/>
  <c r="AT62" i="14"/>
  <c r="AU46" i="14"/>
  <c r="AU44" i="14"/>
  <c r="AU47" i="14"/>
  <c r="AU62" i="14"/>
  <c r="AV46" i="14"/>
  <c r="AV44" i="14"/>
  <c r="AV47" i="14"/>
  <c r="AV62" i="14"/>
  <c r="AW46" i="14"/>
  <c r="AW44" i="14"/>
  <c r="AW47" i="14"/>
  <c r="AW62" i="14"/>
  <c r="AX46" i="14"/>
  <c r="AX44" i="14"/>
  <c r="AX47" i="14"/>
  <c r="AX62" i="14"/>
  <c r="AY46" i="14"/>
  <c r="AY44" i="14"/>
  <c r="AY47" i="14"/>
  <c r="AY62" i="14"/>
  <c r="AZ46" i="14"/>
  <c r="AZ44" i="14"/>
  <c r="AZ47" i="14"/>
  <c r="AZ62" i="14"/>
  <c r="BA46" i="14"/>
  <c r="BA44" i="14"/>
  <c r="BA47" i="14"/>
  <c r="BA62" i="14"/>
  <c r="BB46" i="14"/>
  <c r="BB44" i="14"/>
  <c r="BB47" i="14"/>
  <c r="BB62" i="14"/>
  <c r="BC46" i="14"/>
  <c r="BC44" i="14"/>
  <c r="BC47" i="14"/>
  <c r="BC62" i="14"/>
  <c r="BD46" i="14"/>
  <c r="BD44" i="14"/>
  <c r="BD47" i="14"/>
  <c r="BD62" i="14"/>
  <c r="BE46" i="14"/>
  <c r="BE44" i="14"/>
  <c r="BE47" i="14"/>
  <c r="BE62" i="14"/>
  <c r="BF46" i="14"/>
  <c r="BF44" i="14"/>
  <c r="BF47" i="14"/>
  <c r="BF62" i="14"/>
  <c r="BG46" i="14"/>
  <c r="BG44" i="14"/>
  <c r="BG47" i="14"/>
  <c r="BG62" i="14"/>
  <c r="BH46" i="14"/>
  <c r="BH44" i="14"/>
  <c r="BH47" i="14"/>
  <c r="BH62" i="14"/>
  <c r="BI46" i="14"/>
  <c r="BI44" i="14"/>
  <c r="BI47" i="14"/>
  <c r="BI62" i="14"/>
  <c r="BJ46" i="14"/>
  <c r="BJ44" i="14"/>
  <c r="BJ47" i="14"/>
  <c r="BJ62" i="14"/>
  <c r="BK46" i="14"/>
  <c r="BK44" i="14"/>
  <c r="BK47" i="14"/>
  <c r="BK62" i="14"/>
  <c r="BL46" i="14"/>
  <c r="BL44" i="14"/>
  <c r="BL47" i="14"/>
  <c r="BL62" i="14"/>
  <c r="BM46" i="14"/>
  <c r="BM44" i="14"/>
  <c r="BM47" i="14"/>
  <c r="BM62" i="14"/>
  <c r="BN46" i="14"/>
  <c r="BN44" i="14"/>
  <c r="BN47" i="14"/>
  <c r="BN62" i="14"/>
  <c r="BO46" i="14"/>
  <c r="BO44" i="14"/>
  <c r="BO47" i="14"/>
  <c r="BO62" i="14"/>
  <c r="BP46" i="14"/>
  <c r="BP44" i="14"/>
  <c r="BP47" i="14"/>
  <c r="BP62" i="14"/>
  <c r="BQ46" i="14"/>
  <c r="BQ44" i="14"/>
  <c r="BQ47" i="14"/>
  <c r="BQ62" i="14"/>
  <c r="BR46" i="14"/>
  <c r="BR44" i="14"/>
  <c r="BR47" i="14"/>
  <c r="BR62" i="14"/>
  <c r="BS46" i="14"/>
  <c r="BS44" i="14"/>
  <c r="BS47" i="14"/>
  <c r="BS62" i="14"/>
  <c r="BT46" i="14"/>
  <c r="BT44" i="14"/>
  <c r="BT47" i="14"/>
  <c r="BT62" i="14"/>
  <c r="BU46" i="14"/>
  <c r="BU44" i="14"/>
  <c r="BU47" i="14"/>
  <c r="BU62" i="14"/>
  <c r="BV46" i="14"/>
  <c r="BV44" i="14"/>
  <c r="BV47" i="14"/>
  <c r="BV62" i="14"/>
  <c r="BW46" i="14"/>
  <c r="BW44" i="14"/>
  <c r="BW47" i="14"/>
  <c r="BW62" i="14"/>
  <c r="BX46" i="14"/>
  <c r="BX44" i="14"/>
  <c r="BX47" i="14"/>
  <c r="BX62" i="14"/>
  <c r="BY46" i="14"/>
  <c r="BY44" i="14"/>
  <c r="BY47" i="14"/>
  <c r="BY62" i="14"/>
  <c r="BZ46" i="14"/>
  <c r="BZ44" i="14"/>
  <c r="BZ47" i="14"/>
  <c r="BZ62" i="14"/>
  <c r="CA46" i="14"/>
  <c r="CA44" i="14"/>
  <c r="CA47" i="14"/>
  <c r="CA62" i="14"/>
  <c r="CB46" i="14"/>
  <c r="CB44" i="14"/>
  <c r="CB47" i="14"/>
  <c r="CB62" i="14"/>
  <c r="CC46" i="14"/>
  <c r="CC44" i="14"/>
  <c r="CC47" i="14"/>
  <c r="CC62" i="14"/>
  <c r="CD46" i="14"/>
  <c r="CD44" i="14"/>
  <c r="CD47" i="14"/>
  <c r="CD62" i="14"/>
  <c r="CF46" i="14"/>
  <c r="CF44" i="14"/>
  <c r="CF47" i="14"/>
  <c r="CF62" i="14"/>
  <c r="CG46" i="14"/>
  <c r="CG44" i="14"/>
  <c r="CG47" i="14"/>
  <c r="CG62" i="14"/>
  <c r="CH46" i="14"/>
  <c r="CH44" i="14"/>
  <c r="CH47" i="14"/>
  <c r="CH62" i="14"/>
  <c r="CI46" i="14"/>
  <c r="CI44" i="14"/>
  <c r="CI47" i="14"/>
  <c r="CI62" i="14"/>
  <c r="CJ46" i="14"/>
  <c r="CJ44" i="14"/>
  <c r="CJ47" i="14"/>
  <c r="CJ62" i="14"/>
  <c r="CK46" i="14"/>
  <c r="CK44" i="14"/>
  <c r="CK47" i="14"/>
  <c r="CK62" i="14"/>
  <c r="CL46" i="14"/>
  <c r="CL44" i="14"/>
  <c r="CL47" i="14"/>
  <c r="CL62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BU60" i="14"/>
  <c r="BV60" i="14"/>
  <c r="BW60" i="14"/>
  <c r="BX60" i="14"/>
  <c r="BY60" i="14"/>
  <c r="BZ60" i="14"/>
  <c r="CA60" i="14"/>
  <c r="CB60" i="14"/>
  <c r="CC60" i="14"/>
  <c r="CD60" i="14"/>
  <c r="CF60" i="14"/>
  <c r="CG60" i="14"/>
  <c r="CH60" i="14"/>
  <c r="CI60" i="14"/>
  <c r="CJ60" i="14"/>
  <c r="CK60" i="14"/>
  <c r="CL60" i="14"/>
  <c r="CM60" i="14"/>
  <c r="CN60" i="14"/>
  <c r="AM45" i="14"/>
  <c r="AM61" i="14"/>
  <c r="AN45" i="14"/>
  <c r="AN61" i="14"/>
  <c r="AO45" i="14"/>
  <c r="AO61" i="14"/>
  <c r="AP45" i="14"/>
  <c r="AP61" i="14"/>
  <c r="AQ45" i="14"/>
  <c r="AQ61" i="14"/>
  <c r="AR45" i="14"/>
  <c r="AR61" i="14"/>
  <c r="AS45" i="14"/>
  <c r="AS61" i="14"/>
  <c r="AT45" i="14"/>
  <c r="AT61" i="14"/>
  <c r="AU45" i="14"/>
  <c r="AU61" i="14"/>
  <c r="AV45" i="14"/>
  <c r="AV61" i="14"/>
  <c r="AW45" i="14"/>
  <c r="AW61" i="14"/>
  <c r="AX45" i="14"/>
  <c r="AX61" i="14"/>
  <c r="AY45" i="14"/>
  <c r="AY61" i="14"/>
  <c r="AZ45" i="14"/>
  <c r="AZ61" i="14"/>
  <c r="BA45" i="14"/>
  <c r="BA61" i="14"/>
  <c r="BB45" i="14"/>
  <c r="BB61" i="14"/>
  <c r="BC45" i="14"/>
  <c r="BC61" i="14"/>
  <c r="BD45" i="14"/>
  <c r="BD61" i="14"/>
  <c r="BE45" i="14"/>
  <c r="BE61" i="14"/>
  <c r="BF45" i="14"/>
  <c r="BF61" i="14"/>
  <c r="BG45" i="14"/>
  <c r="BG61" i="14"/>
  <c r="BH45" i="14"/>
  <c r="BH61" i="14"/>
  <c r="BI45" i="14"/>
  <c r="BI61" i="14"/>
  <c r="BJ45" i="14"/>
  <c r="BJ61" i="14"/>
  <c r="BK45" i="14"/>
  <c r="BK61" i="14"/>
  <c r="BL45" i="14"/>
  <c r="BL61" i="14"/>
  <c r="BM45" i="14"/>
  <c r="BM61" i="14"/>
  <c r="BN45" i="14"/>
  <c r="BN61" i="14"/>
  <c r="BO45" i="14"/>
  <c r="BO61" i="14"/>
  <c r="BP45" i="14"/>
  <c r="BP61" i="14"/>
  <c r="BQ45" i="14"/>
  <c r="BQ61" i="14"/>
  <c r="BR45" i="14"/>
  <c r="BR61" i="14"/>
  <c r="BS45" i="14"/>
  <c r="BS61" i="14"/>
  <c r="BT45" i="14"/>
  <c r="BT61" i="14"/>
  <c r="BU45" i="14"/>
  <c r="BU61" i="14"/>
  <c r="BV45" i="14"/>
  <c r="BV61" i="14"/>
  <c r="BW45" i="14"/>
  <c r="BW61" i="14"/>
  <c r="BX45" i="14"/>
  <c r="BX61" i="14"/>
  <c r="BY45" i="14"/>
  <c r="BY61" i="14"/>
  <c r="BZ45" i="14"/>
  <c r="BZ61" i="14"/>
  <c r="CA45" i="14"/>
  <c r="CA61" i="14"/>
  <c r="CB45" i="14"/>
  <c r="CB61" i="14"/>
  <c r="CC45" i="14"/>
  <c r="CC61" i="14"/>
  <c r="CD45" i="14"/>
  <c r="CD61" i="14"/>
  <c r="CF45" i="14"/>
  <c r="CF61" i="14"/>
  <c r="CG45" i="14"/>
  <c r="CG61" i="14"/>
  <c r="CH45" i="14"/>
  <c r="CH61" i="14"/>
  <c r="CI45" i="14"/>
  <c r="CI61" i="14"/>
  <c r="CJ45" i="14"/>
  <c r="CJ61" i="14"/>
  <c r="CK45" i="14"/>
  <c r="CK61" i="14"/>
  <c r="CL45" i="14"/>
  <c r="CL61" i="14"/>
  <c r="CM45" i="14"/>
  <c r="CM61" i="14"/>
  <c r="AM49" i="14"/>
  <c r="AL46" i="14"/>
  <c r="AL44" i="14"/>
  <c r="AL47" i="14"/>
  <c r="AL45" i="14"/>
  <c r="AL49" i="14"/>
  <c r="AM51" i="14"/>
  <c r="AN49" i="14"/>
  <c r="AN51" i="14"/>
  <c r="AO49" i="14"/>
  <c r="AO51" i="14"/>
  <c r="AP49" i="14"/>
  <c r="AP51" i="14"/>
  <c r="AQ49" i="14"/>
  <c r="AQ51" i="14"/>
  <c r="AR49" i="14"/>
  <c r="AR51" i="14"/>
  <c r="AS49" i="14"/>
  <c r="AS51" i="14"/>
  <c r="AT49" i="14"/>
  <c r="AT51" i="14"/>
  <c r="AU49" i="14"/>
  <c r="AU51" i="14"/>
  <c r="AV49" i="14"/>
  <c r="AV51" i="14"/>
  <c r="AW49" i="14"/>
  <c r="AW51" i="14"/>
  <c r="AX49" i="14"/>
  <c r="AX51" i="14"/>
  <c r="AY49" i="14"/>
  <c r="AY51" i="14"/>
  <c r="AZ49" i="14"/>
  <c r="AZ51" i="14"/>
  <c r="BA49" i="14"/>
  <c r="BA51" i="14"/>
  <c r="BB49" i="14"/>
  <c r="BB51" i="14"/>
  <c r="BC49" i="14"/>
  <c r="BC51" i="14"/>
  <c r="BD49" i="14"/>
  <c r="BD51" i="14"/>
  <c r="BE49" i="14"/>
  <c r="BE51" i="14"/>
  <c r="BF49" i="14"/>
  <c r="BF51" i="14"/>
  <c r="BG49" i="14"/>
  <c r="BG51" i="14"/>
  <c r="BH49" i="14"/>
  <c r="BH51" i="14"/>
  <c r="BI49" i="14"/>
  <c r="BI51" i="14"/>
  <c r="BJ49" i="14"/>
  <c r="BJ51" i="14"/>
  <c r="BK49" i="14"/>
  <c r="BK51" i="14"/>
  <c r="BL49" i="14"/>
  <c r="BL51" i="14"/>
  <c r="BM49" i="14"/>
  <c r="BM51" i="14"/>
  <c r="BN49" i="14"/>
  <c r="BN51" i="14"/>
  <c r="BO49" i="14"/>
  <c r="BO51" i="14"/>
  <c r="BP49" i="14"/>
  <c r="BP51" i="14"/>
  <c r="BQ49" i="14"/>
  <c r="BQ51" i="14"/>
  <c r="BR49" i="14"/>
  <c r="BR51" i="14"/>
  <c r="BS49" i="14"/>
  <c r="BS51" i="14"/>
  <c r="BT49" i="14"/>
  <c r="BT51" i="14"/>
  <c r="BU49" i="14"/>
  <c r="BU51" i="14"/>
  <c r="BV49" i="14"/>
  <c r="BV51" i="14"/>
  <c r="BW49" i="14"/>
  <c r="BW51" i="14"/>
  <c r="BX49" i="14"/>
  <c r="BX51" i="14"/>
  <c r="BY49" i="14"/>
  <c r="BY51" i="14"/>
  <c r="BZ49" i="14"/>
  <c r="BZ51" i="14"/>
  <c r="CA49" i="14"/>
  <c r="CA51" i="14"/>
  <c r="CB49" i="14"/>
  <c r="CB51" i="14"/>
  <c r="CC49" i="14"/>
  <c r="CC51" i="14"/>
  <c r="CD49" i="14"/>
  <c r="CD51" i="14"/>
  <c r="CE49" i="14"/>
  <c r="CE51" i="14"/>
  <c r="CF49" i="14"/>
  <c r="CF51" i="14"/>
  <c r="CG49" i="14"/>
  <c r="CG51" i="14"/>
  <c r="CH49" i="14"/>
  <c r="CH51" i="14"/>
  <c r="CI49" i="14"/>
  <c r="CI51" i="14"/>
  <c r="CJ49" i="14"/>
  <c r="CJ51" i="14"/>
  <c r="CK49" i="14"/>
  <c r="CK51" i="14"/>
  <c r="CL49" i="14"/>
  <c r="CL51" i="14"/>
  <c r="CM49" i="14"/>
  <c r="CM51" i="14"/>
  <c r="AL51" i="14"/>
  <c r="D42" i="14"/>
  <c r="AM48" i="14"/>
  <c r="AL48" i="14"/>
  <c r="AM50" i="14"/>
  <c r="AN48" i="14"/>
  <c r="AN50" i="14"/>
  <c r="AO48" i="14"/>
  <c r="AO50" i="14"/>
  <c r="AP48" i="14"/>
  <c r="AP50" i="14"/>
  <c r="AQ48" i="14"/>
  <c r="AQ50" i="14"/>
  <c r="AR48" i="14"/>
  <c r="AR50" i="14"/>
  <c r="AS48" i="14"/>
  <c r="AS50" i="14"/>
  <c r="AT48" i="14"/>
  <c r="AT50" i="14"/>
  <c r="AU48" i="14"/>
  <c r="AU50" i="14"/>
  <c r="AV48" i="14"/>
  <c r="AV50" i="14"/>
  <c r="AW48" i="14"/>
  <c r="AW50" i="14"/>
  <c r="AX48" i="14"/>
  <c r="AX50" i="14"/>
  <c r="AY48" i="14"/>
  <c r="AY50" i="14"/>
  <c r="AZ48" i="14"/>
  <c r="AZ50" i="14"/>
  <c r="BA48" i="14"/>
  <c r="BA50" i="14"/>
  <c r="BB48" i="14"/>
  <c r="BB50" i="14"/>
  <c r="BC48" i="14"/>
  <c r="BC50" i="14"/>
  <c r="BD48" i="14"/>
  <c r="BD50" i="14"/>
  <c r="BE48" i="14"/>
  <c r="BE50" i="14"/>
  <c r="BF48" i="14"/>
  <c r="BF50" i="14"/>
  <c r="BG48" i="14"/>
  <c r="BG50" i="14"/>
  <c r="BH48" i="14"/>
  <c r="BH50" i="14"/>
  <c r="BI48" i="14"/>
  <c r="BI50" i="14"/>
  <c r="BJ48" i="14"/>
  <c r="BJ50" i="14"/>
  <c r="BK48" i="14"/>
  <c r="BK50" i="14"/>
  <c r="BL48" i="14"/>
  <c r="BL50" i="14"/>
  <c r="BM48" i="14"/>
  <c r="BM50" i="14"/>
  <c r="BN48" i="14"/>
  <c r="BN50" i="14"/>
  <c r="BO48" i="14"/>
  <c r="BO50" i="14"/>
  <c r="BP48" i="14"/>
  <c r="BP50" i="14"/>
  <c r="BQ48" i="14"/>
  <c r="BQ50" i="14"/>
  <c r="BR48" i="14"/>
  <c r="BR50" i="14"/>
  <c r="BS48" i="14"/>
  <c r="BS50" i="14"/>
  <c r="BT48" i="14"/>
  <c r="BT50" i="14"/>
  <c r="BU48" i="14"/>
  <c r="BU50" i="14"/>
  <c r="BV48" i="14"/>
  <c r="BV50" i="14"/>
  <c r="BW48" i="14"/>
  <c r="BW50" i="14"/>
  <c r="BX48" i="14"/>
  <c r="BX50" i="14"/>
  <c r="BY48" i="14"/>
  <c r="BY50" i="14"/>
  <c r="BZ48" i="14"/>
  <c r="BZ50" i="14"/>
  <c r="CA48" i="14"/>
  <c r="CA50" i="14"/>
  <c r="CB48" i="14"/>
  <c r="CB50" i="14"/>
  <c r="CC48" i="14"/>
  <c r="CC50" i="14"/>
  <c r="CD48" i="14"/>
  <c r="CD50" i="14"/>
  <c r="CE48" i="14"/>
  <c r="CE50" i="14"/>
  <c r="CF48" i="14"/>
  <c r="CF50" i="14"/>
  <c r="CG48" i="14"/>
  <c r="CG50" i="14"/>
  <c r="CH48" i="14"/>
  <c r="CH50" i="14"/>
  <c r="CI48" i="14"/>
  <c r="CI50" i="14"/>
  <c r="CJ48" i="14"/>
  <c r="CJ50" i="14"/>
  <c r="CK48" i="14"/>
  <c r="CK50" i="14"/>
  <c r="CL48" i="14"/>
  <c r="CL50" i="14"/>
  <c r="CM48" i="14"/>
  <c r="CM50" i="14"/>
  <c r="AL50" i="14"/>
  <c r="D41" i="14"/>
  <c r="AL60" i="14"/>
  <c r="AL61" i="14"/>
  <c r="AL62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Роман Николаевич</author>
  </authors>
  <commentList>
    <comment ref="B2" authorId="0" shapeId="0" xr:uid="{00000000-0006-0000-0100-000001000000}">
      <text>
        <r>
          <rPr>
            <b/>
            <sz val="10"/>
            <color indexed="81"/>
            <rFont val="Tahoma"/>
            <charset val="204"/>
          </rPr>
          <t>Роман Николаевич:</t>
        </r>
        <r>
          <rPr>
            <sz val="10"/>
            <color indexed="81"/>
            <rFont val="Tahoma"/>
            <charset val="204"/>
          </rPr>
          <t xml:space="preserve">
Программа упрощает расчеты диаграмм скорости, ускорений, двищущих усилий, мощности.
После ввода значений не забудьте, пожалуйста, организовать поиск решения задачи /смотрите функцию по справке Excel/.
</t>
        </r>
      </text>
    </comment>
    <comment ref="C4" authorId="0" shapeId="0" xr:uid="{00000000-0006-0000-0100-000002000000}">
      <text>
        <r>
          <rPr>
            <b/>
            <sz val="10"/>
            <color indexed="81"/>
            <rFont val="Tahoma"/>
            <charset val="204"/>
          </rPr>
          <t>Роман Николаевич:</t>
        </r>
        <r>
          <rPr>
            <sz val="10"/>
            <color indexed="81"/>
            <rFont val="Tahoma"/>
            <charset val="204"/>
          </rPr>
          <t xml:space="preserve">
Сведения вводите внимательно!</t>
        </r>
      </text>
    </comment>
  </commentList>
</comments>
</file>

<file path=xl/sharedStrings.xml><?xml version="1.0" encoding="utf-8"?>
<sst xmlns="http://schemas.openxmlformats.org/spreadsheetml/2006/main" count="130" uniqueCount="91">
  <si>
    <t>Входные данные для расчета диаграммы подъёма скипа односкиповой многоканатной установки:</t>
  </si>
  <si>
    <t>Ввести высоту подъёма, м</t>
  </si>
  <si>
    <t>Ввести приведенную массу, кг</t>
  </si>
  <si>
    <t>Ввести количество подвесных канатов - z2</t>
  </si>
  <si>
    <t>Ввести массу 1 погонного метра подвесного каната (-ов), кг</t>
  </si>
  <si>
    <t>Ввести количество головных канатов - z1</t>
  </si>
  <si>
    <t>Ввести массу 1 погонного метра головного каната, кг</t>
  </si>
  <si>
    <t>Ввести массу противовеса, кг</t>
  </si>
  <si>
    <t>Ввести массу сосуда, кг</t>
  </si>
  <si>
    <t>Ввести массу груза, кг</t>
  </si>
  <si>
    <t>КПД двигателя</t>
  </si>
  <si>
    <t>КПД редуктора</t>
  </si>
  <si>
    <t>КПД сети</t>
  </si>
  <si>
    <t>КПД преобразователя</t>
  </si>
  <si>
    <t>Ввести ускорение а4</t>
  </si>
  <si>
    <t>Нахождение целевой функции</t>
  </si>
  <si>
    <t>Самоопределение шага интегрирования</t>
  </si>
  <si>
    <t>Целевая</t>
  </si>
  <si>
    <t>Время, начала анализа, с (0)</t>
  </si>
  <si>
    <t>Ввести максимальную скорость работы ШПУ</t>
  </si>
  <si>
    <t>Ввести чему равно V4, V5  м/с</t>
  </si>
  <si>
    <t>t4,t4//12</t>
  </si>
  <si>
    <t>Ввести чему равна скорость дотяжки скипа Vдот, м/с</t>
  </si>
  <si>
    <t>Ввести величину ускорения а7</t>
  </si>
  <si>
    <t>Время для построения диаграмм</t>
  </si>
  <si>
    <t xml:space="preserve">ПОСЛЕ ВВОДА НАЖМИТЕ в МЕНЮ "СЕРВИС" ПОДМЕНЮ "поиск решения" </t>
  </si>
  <si>
    <t>Выходные данные:</t>
  </si>
  <si>
    <t>h4/</t>
  </si>
  <si>
    <r>
      <t>h4/</t>
    </r>
    <r>
      <rPr>
        <sz val="9"/>
        <color indexed="8"/>
        <rFont val="Arial Cyr"/>
        <family val="2"/>
        <charset val="204"/>
      </rPr>
      <t>/</t>
    </r>
  </si>
  <si>
    <t xml:space="preserve"> </t>
  </si>
  <si>
    <t>h5</t>
  </si>
  <si>
    <t>h6/</t>
  </si>
  <si>
    <t>h6//</t>
  </si>
  <si>
    <t>hp//</t>
  </si>
  <si>
    <t>hp/</t>
  </si>
  <si>
    <t>Проверка высоты подъёма</t>
  </si>
  <si>
    <t>Время движения, с</t>
  </si>
  <si>
    <t xml:space="preserve">t4/ = </t>
  </si>
  <si>
    <t xml:space="preserve">t4// = </t>
  </si>
  <si>
    <t xml:space="preserve">t5 = </t>
  </si>
  <si>
    <t xml:space="preserve">t6/ = </t>
  </si>
  <si>
    <t>t6//</t>
  </si>
  <si>
    <t>t7</t>
  </si>
  <si>
    <t>t8</t>
  </si>
  <si>
    <t>-</t>
  </si>
  <si>
    <t>Суммарное время подъёма, с</t>
  </si>
  <si>
    <t>Потребление электроэнергии за время подъёма,   кВт*с</t>
  </si>
  <si>
    <t>Расход электроэнергии из сети за время подъёма, кВт</t>
  </si>
  <si>
    <t>t4/</t>
  </si>
  <si>
    <t>t4//</t>
  </si>
  <si>
    <t>t5</t>
  </si>
  <si>
    <t>t6/</t>
  </si>
  <si>
    <t xml:space="preserve">Расчетное ускорение,  а </t>
  </si>
  <si>
    <t>Расчетная скорость, V</t>
  </si>
  <si>
    <t>Расчетный путь сосуда, м</t>
  </si>
  <si>
    <t>Движущее усилие, Н</t>
  </si>
  <si>
    <t>Мощность на подъём скипа, кВт</t>
  </si>
  <si>
    <t>Мощность, затрачиваемая из сети, кВт</t>
  </si>
  <si>
    <t>Интегрирование (определение мощности потребляемой на подъём)</t>
  </si>
  <si>
    <t>Интегрирование (определение мощности потребляемой из сети)</t>
  </si>
  <si>
    <t>При расчете целевой функции</t>
  </si>
  <si>
    <t>Начало t4//</t>
  </si>
  <si>
    <t>Автор - СТУКАН РОМАН НИКОЛАЕВИЧ (ГЭ-98-1)</t>
  </si>
  <si>
    <t>Входные данные для расчета диаграммы спуска скипа односкиповой многоканатной установки:</t>
  </si>
  <si>
    <t xml:space="preserve">Ввести количество подвесных канатов - z2 </t>
  </si>
  <si>
    <t>Ввести массу 1 погонного метра головного каната (-ов), кг</t>
  </si>
  <si>
    <t>Ввести ускорение а1</t>
  </si>
  <si>
    <t>Ввести чему равно V3, м/с</t>
  </si>
  <si>
    <t>t1,t2</t>
  </si>
  <si>
    <t>h3</t>
  </si>
  <si>
    <r>
      <t>h3</t>
    </r>
    <r>
      <rPr>
        <sz val="9"/>
        <color indexed="8"/>
        <rFont val="Arial Cyr"/>
        <family val="2"/>
        <charset val="204"/>
      </rPr>
      <t>/</t>
    </r>
  </si>
  <si>
    <t>h2</t>
  </si>
  <si>
    <t>h1</t>
  </si>
  <si>
    <t>Проверка высоты</t>
  </si>
  <si>
    <t xml:space="preserve">Время движения </t>
  </si>
  <si>
    <t xml:space="preserve">t1 = </t>
  </si>
  <si>
    <t xml:space="preserve"> t2 = </t>
  </si>
  <si>
    <t xml:space="preserve">t3 = </t>
  </si>
  <si>
    <r>
      <t>t3</t>
    </r>
    <r>
      <rPr>
        <sz val="9"/>
        <color indexed="8"/>
        <rFont val="Arial Cyr"/>
        <family val="2"/>
        <charset val="204"/>
      </rPr>
      <t>/</t>
    </r>
    <r>
      <rPr>
        <sz val="10"/>
        <color indexed="8"/>
        <rFont val="Arial Cyr"/>
        <family val="2"/>
        <charset val="204"/>
      </rPr>
      <t xml:space="preserve"> = </t>
    </r>
  </si>
  <si>
    <t>t2</t>
  </si>
  <si>
    <t>t3</t>
  </si>
  <si>
    <t>Суммарное время спуска, с</t>
  </si>
  <si>
    <t>Потребление электроэнергии за время спуска,   кВт*с</t>
  </si>
  <si>
    <t>Расход электроэнергии из сети за время спуска, кВт</t>
  </si>
  <si>
    <t>Мощность на спуск скипа, кВт</t>
  </si>
  <si>
    <t>Интегрирование (определение мощности потребляемой на спуск)</t>
  </si>
  <si>
    <t>Начало t2</t>
  </si>
  <si>
    <t>Мощность на подъём груза, кВт</t>
  </si>
  <si>
    <t>Расчетное ускорение для построения диаграммы</t>
  </si>
  <si>
    <t>Расчетная скорость  для построения диаграммы</t>
  </si>
  <si>
    <t>Движущие усилия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</si>
</sst>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0"/>
      <name val="Arial Cyr"/>
      <charset val="204"/>
    </font>
    <font>
      <sz val="10"/>
      <name val="Arial Cyr"/>
      <charset val="204"/>
    </font>
    <font>
      <sz val="10"/>
      <color indexed="9"/>
      <name val="Arial Cyr"/>
      <family val="2"/>
      <charset val="204"/>
    </font>
    <font>
      <sz val="10"/>
      <color indexed="8"/>
      <name val="Arial Cyr"/>
      <family val="2"/>
      <charset val="204"/>
    </font>
    <font>
      <sz val="10"/>
      <name val="Arial Cyr"/>
      <family val="2"/>
      <charset val="204"/>
    </font>
    <font>
      <sz val="20"/>
      <name val="Arial Cyr"/>
      <family val="2"/>
      <charset val="204"/>
    </font>
    <font>
      <sz val="16"/>
      <name val="Arial Cyr"/>
      <family val="2"/>
      <charset val="204"/>
    </font>
    <font>
      <sz val="10"/>
      <color indexed="81"/>
      <name val="Tahoma"/>
      <charset val="204"/>
    </font>
    <font>
      <b/>
      <sz val="10"/>
      <color indexed="81"/>
      <name val="Tahoma"/>
      <charset val="204"/>
    </font>
    <font>
      <u/>
      <sz val="10"/>
      <name val="Arial"/>
      <family val="2"/>
    </font>
    <font>
      <sz val="10"/>
      <color indexed="10"/>
      <name val="Arial Cyr"/>
      <family val="2"/>
      <charset val="204"/>
    </font>
    <font>
      <sz val="12"/>
      <color indexed="8"/>
      <name val="Arial Cyr"/>
      <family val="2"/>
      <charset val="204"/>
    </font>
    <font>
      <sz val="14"/>
      <color indexed="8"/>
      <name val="Arial Cyr"/>
      <family val="2"/>
      <charset val="204"/>
    </font>
    <font>
      <sz val="9"/>
      <color indexed="8"/>
      <name val="Arial Cyr"/>
      <family val="2"/>
      <charset val="204"/>
    </font>
    <font>
      <sz val="10"/>
      <color indexed="9"/>
      <name val="Arial Cyr"/>
      <charset val="204"/>
    </font>
    <font>
      <u/>
      <sz val="10"/>
      <color indexed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4" fillId="0" borderId="0" xfId="0" applyFont="1"/>
    <xf numFmtId="0" fontId="2" fillId="0" borderId="0" xfId="0" applyFont="1"/>
    <xf numFmtId="0" fontId="5" fillId="0" borderId="0" xfId="0" applyFont="1"/>
    <xf numFmtId="0" fontId="2" fillId="2" borderId="0" xfId="0" applyFont="1" applyFill="1"/>
    <xf numFmtId="0" fontId="2" fillId="2" borderId="0" xfId="0" applyFont="1" applyFill="1" applyBorder="1"/>
    <xf numFmtId="0" fontId="3" fillId="2" borderId="1" xfId="0" applyFont="1" applyFill="1" applyBorder="1"/>
    <xf numFmtId="0" fontId="6" fillId="0" borderId="0" xfId="0" applyFont="1"/>
    <xf numFmtId="0" fontId="4" fillId="2" borderId="0" xfId="0" applyFont="1" applyFill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 applyProtection="1">
      <protection locked="0"/>
    </xf>
    <xf numFmtId="0" fontId="4" fillId="2" borderId="4" xfId="0" applyFont="1" applyFill="1" applyBorder="1"/>
    <xf numFmtId="0" fontId="4" fillId="2" borderId="5" xfId="0" applyFont="1" applyFill="1" applyBorder="1" applyProtection="1">
      <protection locked="0"/>
    </xf>
    <xf numFmtId="0" fontId="4" fillId="2" borderId="6" xfId="0" applyFont="1" applyFill="1" applyBorder="1"/>
    <xf numFmtId="0" fontId="4" fillId="2" borderId="7" xfId="0" applyFont="1" applyFill="1" applyBorder="1" applyProtection="1">
      <protection locked="0"/>
    </xf>
    <xf numFmtId="0" fontId="4" fillId="2" borderId="8" xfId="0" applyFont="1" applyFill="1" applyBorder="1"/>
    <xf numFmtId="0" fontId="4" fillId="2" borderId="9" xfId="0" applyFont="1" applyFill="1" applyBorder="1" applyProtection="1">
      <protection locked="0"/>
    </xf>
    <xf numFmtId="0" fontId="4" fillId="2" borderId="10" xfId="0" applyFont="1" applyFill="1" applyBorder="1"/>
    <xf numFmtId="0" fontId="4" fillId="2" borderId="11" xfId="0" applyFont="1" applyFill="1" applyBorder="1" applyProtection="1">
      <protection locked="0"/>
    </xf>
    <xf numFmtId="0" fontId="4" fillId="2" borderId="12" xfId="0" applyFont="1" applyFill="1" applyBorder="1" applyProtection="1">
      <protection locked="0"/>
    </xf>
    <xf numFmtId="0" fontId="9" fillId="0" borderId="0" xfId="0" applyFont="1"/>
    <xf numFmtId="0" fontId="3" fillId="2" borderId="12" xfId="0" applyFont="1" applyFill="1" applyBorder="1" applyProtection="1">
      <protection locked="0"/>
    </xf>
    <xf numFmtId="0" fontId="2" fillId="2" borderId="0" xfId="0" applyFont="1" applyFill="1" applyBorder="1" applyProtection="1">
      <protection hidden="1"/>
    </xf>
    <xf numFmtId="0" fontId="2" fillId="2" borderId="0" xfId="0" applyFont="1" applyFill="1" applyProtection="1">
      <protection hidden="1"/>
    </xf>
    <xf numFmtId="0" fontId="2" fillId="2" borderId="0" xfId="0" applyFont="1" applyFill="1" applyBorder="1" applyAlignment="1" applyProtection="1">
      <alignment wrapText="1"/>
      <protection hidden="1"/>
    </xf>
    <xf numFmtId="0" fontId="2" fillId="2" borderId="0" xfId="0" applyFont="1" applyFill="1" applyBorder="1" applyAlignment="1" applyProtection="1">
      <alignment horizontal="center" wrapText="1"/>
      <protection hidden="1"/>
    </xf>
    <xf numFmtId="0" fontId="1" fillId="0" borderId="0" xfId="0" applyFont="1"/>
    <xf numFmtId="0" fontId="10" fillId="2" borderId="0" xfId="0" applyFont="1" applyFill="1"/>
    <xf numFmtId="0" fontId="3" fillId="2" borderId="0" xfId="0" applyFont="1" applyFill="1" applyProtection="1">
      <protection hidden="1"/>
    </xf>
    <xf numFmtId="0" fontId="3" fillId="2" borderId="0" xfId="0" applyFont="1" applyFill="1" applyBorder="1" applyProtection="1">
      <protection hidden="1"/>
    </xf>
    <xf numFmtId="0" fontId="3" fillId="0" borderId="0" xfId="0" applyFont="1" applyProtection="1">
      <protection hidden="1"/>
    </xf>
    <xf numFmtId="0" fontId="11" fillId="2" borderId="0" xfId="0" applyFont="1" applyFill="1" applyProtection="1">
      <protection hidden="1"/>
    </xf>
    <xf numFmtId="0" fontId="12" fillId="2" borderId="0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1" xfId="0" applyFont="1" applyBorder="1" applyProtection="1">
      <protection hidden="1"/>
    </xf>
    <xf numFmtId="0" fontId="3" fillId="0" borderId="13" xfId="0" applyFont="1" applyBorder="1" applyProtection="1">
      <protection hidden="1"/>
    </xf>
    <xf numFmtId="0" fontId="3" fillId="0" borderId="14" xfId="0" applyFont="1" applyBorder="1" applyProtection="1">
      <protection hidden="1"/>
    </xf>
    <xf numFmtId="0" fontId="3" fillId="0" borderId="10" xfId="0" applyFont="1" applyBorder="1" applyProtection="1">
      <protection hidden="1"/>
    </xf>
    <xf numFmtId="0" fontId="3" fillId="0" borderId="1" xfId="0" applyFont="1" applyFill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3" fillId="2" borderId="10" xfId="0" applyFont="1" applyFill="1" applyBorder="1" applyProtection="1">
      <protection hidden="1"/>
    </xf>
    <xf numFmtId="0" fontId="3" fillId="2" borderId="1" xfId="0" applyFont="1" applyFill="1" applyBorder="1" applyProtection="1">
      <protection hidden="1"/>
    </xf>
    <xf numFmtId="0" fontId="3" fillId="2" borderId="13" xfId="0" applyFont="1" applyFill="1" applyBorder="1" applyProtection="1">
      <protection hidden="1"/>
    </xf>
    <xf numFmtId="0" fontId="3" fillId="2" borderId="14" xfId="0" applyFont="1" applyFill="1" applyBorder="1" applyProtection="1">
      <protection hidden="1"/>
    </xf>
    <xf numFmtId="0" fontId="3" fillId="0" borderId="12" xfId="0" applyFont="1" applyBorder="1" applyAlignment="1" applyProtection="1">
      <alignment wrapText="1"/>
      <protection hidden="1"/>
    </xf>
    <xf numFmtId="0" fontId="3" fillId="2" borderId="3" xfId="0" applyFont="1" applyFill="1" applyBorder="1" applyAlignment="1" applyProtection="1">
      <alignment horizontal="center" wrapText="1"/>
      <protection hidden="1"/>
    </xf>
    <xf numFmtId="0" fontId="3" fillId="0" borderId="0" xfId="0" applyFont="1" applyBorder="1" applyProtection="1">
      <protection hidden="1"/>
    </xf>
    <xf numFmtId="0" fontId="3" fillId="0" borderId="15" xfId="0" applyFont="1" applyBorder="1" applyAlignment="1" applyProtection="1">
      <alignment wrapText="1"/>
      <protection hidden="1"/>
    </xf>
    <xf numFmtId="0" fontId="3" fillId="2" borderId="9" xfId="0" applyFont="1" applyFill="1" applyBorder="1" applyAlignment="1" applyProtection="1">
      <alignment horizontal="center" wrapText="1"/>
      <protection hidden="1"/>
    </xf>
    <xf numFmtId="0" fontId="3" fillId="2" borderId="2" xfId="0" applyFont="1" applyFill="1" applyBorder="1" applyAlignment="1" applyProtection="1">
      <alignment horizontal="center" wrapText="1"/>
      <protection hidden="1"/>
    </xf>
    <xf numFmtId="0" fontId="3" fillId="0" borderId="15" xfId="0" applyFont="1" applyBorder="1" applyProtection="1">
      <protection hidden="1"/>
    </xf>
    <xf numFmtId="0" fontId="3" fillId="2" borderId="8" xfId="0" applyFont="1" applyFill="1" applyBorder="1" applyAlignment="1" applyProtection="1">
      <alignment horizontal="center"/>
      <protection hidden="1"/>
    </xf>
    <xf numFmtId="0" fontId="3" fillId="2" borderId="9" xfId="0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0" fontId="3" fillId="0" borderId="11" xfId="0" applyFont="1" applyBorder="1" applyProtection="1">
      <protection hidden="1"/>
    </xf>
    <xf numFmtId="0" fontId="3" fillId="2" borderId="10" xfId="0" applyFont="1" applyFill="1" applyBorder="1" applyAlignment="1" applyProtection="1">
      <alignment horizontal="center"/>
      <protection hidden="1"/>
    </xf>
    <xf numFmtId="0" fontId="3" fillId="2" borderId="16" xfId="0" applyFont="1" applyFill="1" applyBorder="1" applyAlignment="1" applyProtection="1">
      <alignment horizontal="center"/>
      <protection hidden="1"/>
    </xf>
    <xf numFmtId="0" fontId="3" fillId="2" borderId="17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 wrapText="1"/>
      <protection hidden="1"/>
    </xf>
    <xf numFmtId="0" fontId="3" fillId="2" borderId="13" xfId="0" applyFont="1" applyFill="1" applyBorder="1" applyAlignment="1" applyProtection="1">
      <alignment horizontal="center" vertical="center" wrapText="1"/>
      <protection hidden="1"/>
    </xf>
    <xf numFmtId="0" fontId="3" fillId="2" borderId="14" xfId="0" applyFont="1" applyFill="1" applyBorder="1" applyAlignment="1" applyProtection="1">
      <alignment horizontal="center" wrapText="1"/>
      <protection hidden="1"/>
    </xf>
    <xf numFmtId="0" fontId="3" fillId="0" borderId="0" xfId="0" applyFont="1"/>
    <xf numFmtId="0" fontId="3" fillId="2" borderId="0" xfId="0" applyFont="1" applyFill="1"/>
    <xf numFmtId="0" fontId="3" fillId="2" borderId="0" xfId="0" applyFont="1" applyFill="1" applyBorder="1"/>
    <xf numFmtId="0" fontId="2" fillId="2" borderId="0" xfId="0" applyFont="1" applyFill="1" applyAlignment="1" applyProtection="1">
      <alignment horizontal="center"/>
      <protection hidden="1"/>
    </xf>
    <xf numFmtId="0" fontId="3" fillId="2" borderId="12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4" fillId="2" borderId="0" xfId="0" applyFont="1" applyFill="1" applyProtection="1">
      <protection hidden="1"/>
    </xf>
    <xf numFmtId="0" fontId="3" fillId="3" borderId="0" xfId="0" applyFont="1" applyFill="1" applyProtection="1">
      <protection hidden="1"/>
    </xf>
    <xf numFmtId="0" fontId="3" fillId="4" borderId="0" xfId="0" applyFont="1" applyFill="1" applyProtection="1">
      <protection hidden="1"/>
    </xf>
    <xf numFmtId="0" fontId="3" fillId="5" borderId="0" xfId="0" applyFont="1" applyFill="1" applyProtection="1">
      <protection hidden="1"/>
    </xf>
    <xf numFmtId="0" fontId="3" fillId="6" borderId="0" xfId="0" applyFont="1" applyFill="1" applyProtection="1">
      <protection hidden="1"/>
    </xf>
    <xf numFmtId="0" fontId="3" fillId="7" borderId="0" xfId="0" applyFont="1" applyFill="1" applyProtection="1">
      <protection hidden="1"/>
    </xf>
    <xf numFmtId="0" fontId="1" fillId="8" borderId="0" xfId="0" applyFont="1" applyFill="1"/>
    <xf numFmtId="0" fontId="9" fillId="8" borderId="0" xfId="0" applyFont="1" applyFill="1"/>
    <xf numFmtId="0" fontId="4" fillId="8" borderId="0" xfId="0" applyFont="1" applyFill="1"/>
    <xf numFmtId="0" fontId="2" fillId="8" borderId="0" xfId="0" applyFont="1" applyFill="1"/>
    <xf numFmtId="0" fontId="0" fillId="8" borderId="0" xfId="0" applyFill="1"/>
    <xf numFmtId="0" fontId="14" fillId="2" borderId="0" xfId="0" applyFont="1" applyFill="1"/>
    <xf numFmtId="0" fontId="15" fillId="2" borderId="0" xfId="0" applyFont="1" applyFill="1"/>
    <xf numFmtId="0" fontId="14" fillId="6" borderId="0" xfId="0" applyFont="1" applyFill="1"/>
    <xf numFmtId="0" fontId="15" fillId="6" borderId="0" xfId="0" applyFont="1" applyFill="1"/>
    <xf numFmtId="0" fontId="2" fillId="6" borderId="0" xfId="0" applyFont="1" applyFill="1"/>
    <xf numFmtId="0" fontId="3" fillId="6" borderId="0" xfId="0" applyFont="1" applyFill="1"/>
    <xf numFmtId="0" fontId="3" fillId="8" borderId="0" xfId="0" applyFont="1" applyFill="1"/>
    <xf numFmtId="0" fontId="11" fillId="2" borderId="0" xfId="0" applyFont="1" applyFill="1"/>
    <xf numFmtId="0" fontId="12" fillId="2" borderId="0" xfId="0" applyFont="1" applyFill="1" applyBorder="1"/>
    <xf numFmtId="0" fontId="12" fillId="2" borderId="0" xfId="0" applyFont="1" applyFill="1"/>
    <xf numFmtId="0" fontId="3" fillId="2" borderId="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6" xfId="0" applyFont="1" applyFill="1" applyBorder="1"/>
    <xf numFmtId="0" fontId="3" fillId="2" borderId="18" xfId="0" applyFont="1" applyFill="1" applyBorder="1"/>
    <xf numFmtId="0" fontId="3" fillId="2" borderId="12" xfId="0" applyFont="1" applyFill="1" applyBorder="1"/>
    <xf numFmtId="0" fontId="3" fillId="2" borderId="12" xfId="0" applyFont="1" applyFill="1" applyBorder="1" applyAlignment="1">
      <alignment horizontal="center"/>
    </xf>
    <xf numFmtId="0" fontId="3" fillId="2" borderId="19" xfId="0" applyFont="1" applyFill="1" applyBorder="1"/>
    <xf numFmtId="0" fontId="3" fillId="2" borderId="15" xfId="0" applyFont="1" applyFill="1" applyBorder="1"/>
    <xf numFmtId="0" fontId="3" fillId="2" borderId="0" xfId="0" applyFont="1" applyFill="1" applyAlignment="1">
      <alignment horizontal="center"/>
    </xf>
    <xf numFmtId="0" fontId="3" fillId="2" borderId="11" xfId="0" applyFont="1" applyFill="1" applyBorder="1"/>
    <xf numFmtId="0" fontId="3" fillId="2" borderId="1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wrapText="1"/>
    </xf>
    <xf numFmtId="0" fontId="3" fillId="6" borderId="0" xfId="0" applyFont="1" applyFill="1" applyBorder="1"/>
    <xf numFmtId="0" fontId="3" fillId="2" borderId="0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3" fillId="6" borderId="0" xfId="0" applyFont="1" applyFill="1" applyBorder="1" applyAlignment="1">
      <alignment horizontal="right"/>
    </xf>
    <xf numFmtId="0" fontId="4" fillId="2" borderId="0" xfId="0" applyFont="1" applyFill="1" applyBorder="1" applyProtection="1">
      <protection hidden="1"/>
    </xf>
    <xf numFmtId="0" fontId="4" fillId="2" borderId="0" xfId="0" applyFont="1" applyFill="1" applyBorder="1" applyAlignment="1" applyProtection="1">
      <alignment horizontal="center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швидкості при підйомі</a:t>
            </a:r>
          </a:p>
        </c:rich>
      </c:tx>
      <c:layout>
        <c:manualLayout>
          <c:xMode val="edge"/>
          <c:yMode val="edge"/>
          <c:x val="0.26644479266844279"/>
          <c:y val="3.5364609800167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19062542933263"/>
          <c:y val="0.25344637023453093"/>
          <c:w val="0.79414389503126781"/>
          <c:h val="0.5461867513581364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Подъём!$C$55:$AT$55</c:f>
              <c:numCache>
                <c:formatCode>General</c:formatCode>
                <c:ptCount val="44"/>
                <c:pt idx="0">
                  <c:v>0</c:v>
                </c:pt>
                <c:pt idx="1">
                  <c:v>1.05</c:v>
                </c:pt>
                <c:pt idx="2">
                  <c:v>2.1</c:v>
                </c:pt>
                <c:pt idx="3">
                  <c:v>3.1500000000000004</c:v>
                </c:pt>
                <c:pt idx="4">
                  <c:v>4.2</c:v>
                </c:pt>
                <c:pt idx="5">
                  <c:v>4.5657944695570762</c:v>
                </c:pt>
                <c:pt idx="6">
                  <c:v>4.6507579034829325</c:v>
                </c:pt>
                <c:pt idx="7">
                  <c:v>4.7533142801920825</c:v>
                </c:pt>
                <c:pt idx="8">
                  <c:v>4.8758098828001284</c:v>
                </c:pt>
                <c:pt idx="9">
                  <c:v>5.0200233418752003</c:v>
                </c:pt>
                <c:pt idx="10">
                  <c:v>5.1863744716799998</c:v>
                </c:pt>
                <c:pt idx="11">
                  <c:v>5.372570112</c:v>
                </c:pt>
                <c:pt idx="12">
                  <c:v>5.5713407999999998</c:v>
                </c:pt>
                <c:pt idx="13">
                  <c:v>5.7667199999999994</c:v>
                </c:pt>
                <c:pt idx="14">
                  <c:v>5.9279999999999999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5.9797520661157026</c:v>
                </c:pt>
                <c:pt idx="27">
                  <c:v>5.9190082644628097</c:v>
                </c:pt>
                <c:pt idx="28">
                  <c:v>5.817768595041322</c:v>
                </c:pt>
                <c:pt idx="29">
                  <c:v>5.6760330578512397</c:v>
                </c:pt>
                <c:pt idx="30">
                  <c:v>5.4938016528925626</c:v>
                </c:pt>
                <c:pt idx="31">
                  <c:v>5.27107438016529</c:v>
                </c:pt>
                <c:pt idx="32">
                  <c:v>5.0078512396694217</c:v>
                </c:pt>
                <c:pt idx="33">
                  <c:v>4.7041322314049596</c:v>
                </c:pt>
                <c:pt idx="34">
                  <c:v>4.3599173553719019</c:v>
                </c:pt>
                <c:pt idx="35">
                  <c:v>3.9752066115702496</c:v>
                </c:pt>
                <c:pt idx="36">
                  <c:v>3.5500000000000003</c:v>
                </c:pt>
                <c:pt idx="37">
                  <c:v>3.5500000000000003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9C-4D4B-BEE9-325DB3570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413136"/>
        <c:axId val="1"/>
      </c:scatterChart>
      <c:valAx>
        <c:axId val="1036413136"/>
        <c:scaling>
          <c:orientation val="minMax"/>
          <c:max val="1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</a:t>
                </a:r>
                <a:r>
                  <a:rPr lang="az-Cyrl-AZ"/>
                  <a:t>с</a:t>
                </a:r>
              </a:p>
            </c:rich>
          </c:tx>
          <c:layout>
            <c:manualLayout>
              <c:xMode val="edge"/>
              <c:yMode val="edge"/>
              <c:x val="0.47925459460492631"/>
              <c:y val="0.840891833026195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ajorUnit val="20"/>
        <c:minorUnit val="5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V,</a:t>
                </a:r>
                <a:r>
                  <a:rPr lang="az-Cyrl-AZ"/>
                  <a:t>м/с</a:t>
                </a:r>
              </a:p>
            </c:rich>
          </c:tx>
          <c:layout>
            <c:manualLayout>
              <c:xMode val="edge"/>
              <c:yMode val="edge"/>
              <c:x val="4.4984185775191643E-2"/>
              <c:y val="0.1375290381117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64131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4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прискорення при підйомі</a:t>
            </a:r>
          </a:p>
        </c:rich>
      </c:tx>
      <c:layout>
        <c:manualLayout>
          <c:xMode val="edge"/>
          <c:yMode val="edge"/>
          <c:x val="0.25253327061103986"/>
          <c:y val="3.38552877402219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92528566439032"/>
          <c:y val="0.22657000256917773"/>
          <c:w val="0.73403003990942262"/>
          <c:h val="0.5521016154559272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Подъём!$C$54:$AT$54</c:f>
              <c:numCache>
                <c:formatCode>General</c:formatCode>
                <c:ptCount val="44"/>
                <c:pt idx="0">
                  <c:v>0.59499999999999997</c:v>
                </c:pt>
                <c:pt idx="1">
                  <c:v>0.59499999999999997</c:v>
                </c:pt>
                <c:pt idx="2">
                  <c:v>0.59499999999999997</c:v>
                </c:pt>
                <c:pt idx="3">
                  <c:v>0.59499999999999997</c:v>
                </c:pt>
                <c:pt idx="4">
                  <c:v>0.59499999999999997</c:v>
                </c:pt>
                <c:pt idx="5">
                  <c:v>0.53111236147200003</c:v>
                </c:pt>
                <c:pt idx="6">
                  <c:v>0.51514045184000001</c:v>
                </c:pt>
                <c:pt idx="7">
                  <c:v>0.49517556480000002</c:v>
                </c:pt>
                <c:pt idx="8">
                  <c:v>0.47021945600000004</c:v>
                </c:pt>
                <c:pt idx="9">
                  <c:v>0.43902432000000002</c:v>
                </c:pt>
                <c:pt idx="10">
                  <c:v>0.40003040000000001</c:v>
                </c:pt>
                <c:pt idx="11">
                  <c:v>0.35128800000000004</c:v>
                </c:pt>
                <c:pt idx="12">
                  <c:v>0.29036000000000006</c:v>
                </c:pt>
                <c:pt idx="13">
                  <c:v>0.21420000000000006</c:v>
                </c:pt>
                <c:pt idx="14">
                  <c:v>0.11900000000000005</c:v>
                </c:pt>
                <c:pt idx="15">
                  <c:v>9.9999999991773336E-7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9.9999999991773336E-7</c:v>
                </c:pt>
                <c:pt idx="26">
                  <c:v>-7.954545454545453E-2</c:v>
                </c:pt>
                <c:pt idx="27">
                  <c:v>-0.15909090909090906</c:v>
                </c:pt>
                <c:pt idx="28">
                  <c:v>-0.23863636363636365</c:v>
                </c:pt>
                <c:pt idx="29">
                  <c:v>-0.31818181818181812</c:v>
                </c:pt>
                <c:pt idx="30">
                  <c:v>-0.39772727272727271</c:v>
                </c:pt>
                <c:pt idx="31">
                  <c:v>-0.47727272727272718</c:v>
                </c:pt>
                <c:pt idx="32">
                  <c:v>-0.55681818181818166</c:v>
                </c:pt>
                <c:pt idx="33">
                  <c:v>-0.63636363636363624</c:v>
                </c:pt>
                <c:pt idx="34">
                  <c:v>-0.71590909090909072</c:v>
                </c:pt>
                <c:pt idx="35">
                  <c:v>-0.79545454545454519</c:v>
                </c:pt>
                <c:pt idx="36">
                  <c:v>-0.875</c:v>
                </c:pt>
                <c:pt idx="37">
                  <c:v>-0.875</c:v>
                </c:pt>
                <c:pt idx="38">
                  <c:v>-0.875</c:v>
                </c:pt>
                <c:pt idx="39">
                  <c:v>0</c:v>
                </c:pt>
                <c:pt idx="40">
                  <c:v>0</c:v>
                </c:pt>
                <c:pt idx="41">
                  <c:v>-0.4</c:v>
                </c:pt>
                <c:pt idx="42">
                  <c:v>-0.4</c:v>
                </c:pt>
                <c:pt idx="43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9-42D5-B2EF-662E8BE00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94400"/>
        <c:axId val="1"/>
      </c:scatterChart>
      <c:valAx>
        <c:axId val="1039394400"/>
        <c:scaling>
          <c:orientation val="minMax"/>
          <c:max val="10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</a:t>
                </a:r>
                <a:r>
                  <a:rPr lang="az-Cyrl-AZ"/>
                  <a:t>с</a:t>
                </a:r>
              </a:p>
            </c:rich>
          </c:tx>
          <c:layout>
            <c:manualLayout>
              <c:xMode val="edge"/>
              <c:yMode val="edge"/>
              <c:x val="0.5320034234205907"/>
              <c:y val="0.79169288254057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ajorUnit val="20"/>
        <c:minorUnit val="5"/>
      </c:valAx>
      <c:valAx>
        <c:axId val="1"/>
        <c:scaling>
          <c:orientation val="minMax"/>
          <c:min val="-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az-Cyrl-AZ"/>
                  <a:t>а ,м/с2</a:t>
                </a:r>
              </a:p>
            </c:rich>
          </c:tx>
          <c:layout>
            <c:manualLayout>
              <c:xMode val="edge"/>
              <c:yMode val="edge"/>
              <c:x val="8.7544867145160493E-2"/>
              <c:y val="0.104170116123759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9394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4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рушійних зусиль при підйомі </a:t>
            </a:r>
          </a:p>
        </c:rich>
      </c:tx>
      <c:layout>
        <c:manualLayout>
          <c:xMode val="edge"/>
          <c:yMode val="edge"/>
          <c:x val="0.23155114898660598"/>
          <c:y val="3.012144546168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97789827416463"/>
          <c:y val="0.15863961276489399"/>
          <c:w val="0.76680344265854294"/>
          <c:h val="0.6887770528906157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Подъём!$C$57:$AT$57</c:f>
              <c:numCache>
                <c:formatCode>General</c:formatCode>
                <c:ptCount val="44"/>
                <c:pt idx="0">
                  <c:v>210040.61424999998</c:v>
                </c:pt>
                <c:pt idx="1">
                  <c:v>210025.61793382349</c:v>
                </c:pt>
                <c:pt idx="2">
                  <c:v>209980.62898529414</c:v>
                </c:pt>
                <c:pt idx="3">
                  <c:v>209905.64740441175</c:v>
                </c:pt>
                <c:pt idx="4">
                  <c:v>209800.67319117644</c:v>
                </c:pt>
                <c:pt idx="5">
                  <c:v>202395.96936380866</c:v>
                </c:pt>
                <c:pt idx="6">
                  <c:v>200544.20942690945</c:v>
                </c:pt>
                <c:pt idx="7">
                  <c:v>198229.20099637931</c:v>
                </c:pt>
                <c:pt idx="8">
                  <c:v>195334.97745511227</c:v>
                </c:pt>
                <c:pt idx="9">
                  <c:v>191716.51177923035</c:v>
                </c:pt>
                <c:pt idx="10">
                  <c:v>187192.43006252992</c:v>
                </c:pt>
                <c:pt idx="11">
                  <c:v>181535.90788775194</c:v>
                </c:pt>
                <c:pt idx="12">
                  <c:v>174463.31348395353</c:v>
                </c:pt>
                <c:pt idx="13">
                  <c:v>165620.07782602852</c:v>
                </c:pt>
                <c:pt idx="14">
                  <c:v>154563.1955731597</c:v>
                </c:pt>
                <c:pt idx="15">
                  <c:v>140739.8386905042</c:v>
                </c:pt>
                <c:pt idx="16">
                  <c:v>140739.72351050421</c:v>
                </c:pt>
                <c:pt idx="17">
                  <c:v>139837.61233378152</c:v>
                </c:pt>
                <c:pt idx="18">
                  <c:v>138935.50115705884</c:v>
                </c:pt>
                <c:pt idx="19">
                  <c:v>138033.38998033616</c:v>
                </c:pt>
                <c:pt idx="20">
                  <c:v>137131.27880361344</c:v>
                </c:pt>
                <c:pt idx="21">
                  <c:v>136229.16762689076</c:v>
                </c:pt>
                <c:pt idx="22">
                  <c:v>135327.05645016808</c:v>
                </c:pt>
                <c:pt idx="23">
                  <c:v>134424.9452734454</c:v>
                </c:pt>
                <c:pt idx="24">
                  <c:v>133522.83409672271</c:v>
                </c:pt>
                <c:pt idx="25">
                  <c:v>132620.83809999999</c:v>
                </c:pt>
                <c:pt idx="26">
                  <c:v>123409.29068247935</c:v>
                </c:pt>
                <c:pt idx="27">
                  <c:v>114198.19214710745</c:v>
                </c:pt>
                <c:pt idx="28">
                  <c:v>104987.76101603305</c:v>
                </c:pt>
                <c:pt idx="29">
                  <c:v>95778.33099140499</c:v>
                </c:pt>
                <c:pt idx="30">
                  <c:v>86570.235775371926</c:v>
                </c:pt>
                <c:pt idx="31">
                  <c:v>77363.809070082672</c:v>
                </c:pt>
                <c:pt idx="32">
                  <c:v>68159.384577685982</c:v>
                </c:pt>
                <c:pt idx="33">
                  <c:v>58957.296000330622</c:v>
                </c:pt>
                <c:pt idx="34">
                  <c:v>49757.877040165316</c:v>
                </c:pt>
                <c:pt idx="35">
                  <c:v>40561.461399338892</c:v>
                </c:pt>
                <c:pt idx="36">
                  <c:v>31368.382780000014</c:v>
                </c:pt>
                <c:pt idx="37">
                  <c:v>31368.382780000014</c:v>
                </c:pt>
                <c:pt idx="38">
                  <c:v>40726.014250000007</c:v>
                </c:pt>
                <c:pt idx="39">
                  <c:v>87278.677290000007</c:v>
                </c:pt>
                <c:pt idx="40">
                  <c:v>38685.199946249995</c:v>
                </c:pt>
                <c:pt idx="41">
                  <c:v>41206.677290000007</c:v>
                </c:pt>
                <c:pt idx="42">
                  <c:v>33932.20463374992</c:v>
                </c:pt>
                <c:pt idx="43">
                  <c:v>33932.20463374992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2C-43AD-B7FC-986DA126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94816"/>
        <c:axId val="1"/>
      </c:scatterChart>
      <c:valAx>
        <c:axId val="1039394816"/>
        <c:scaling>
          <c:orientation val="minMax"/>
          <c:max val="1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</a:t>
                </a:r>
                <a:r>
                  <a:rPr lang="az-Cyrl-AZ"/>
                  <a:t>с</a:t>
                </a:r>
              </a:p>
            </c:rich>
          </c:tx>
          <c:layout>
            <c:manualLayout>
              <c:xMode val="edge"/>
              <c:yMode val="edge"/>
              <c:x val="0.50337206301436077"/>
              <c:y val="0.849424762019622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ajorUnit val="20"/>
        <c:minorUnit val="5"/>
      </c:valAx>
      <c:valAx>
        <c:axId val="1"/>
        <c:scaling>
          <c:orientation val="minMax"/>
          <c:min val="-1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9394816"/>
        <c:crosses val="autoZero"/>
        <c:crossBetween val="midCat"/>
        <c:majorUnit val="250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потужності на підйом</a:t>
            </a:r>
          </a:p>
        </c:rich>
      </c:tx>
      <c:layout>
        <c:manualLayout>
          <c:xMode val="edge"/>
          <c:yMode val="edge"/>
          <c:x val="0.28068093538290589"/>
          <c:y val="3.09061169119914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34951974107165"/>
          <c:y val="0.23400345661936411"/>
          <c:w val="0.75464514962230378"/>
          <c:h val="0.613707178680973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Подъём!$C$58:$AT$58</c:f>
              <c:numCache>
                <c:formatCode>General</c:formatCode>
                <c:ptCount val="44"/>
                <c:pt idx="0">
                  <c:v>0</c:v>
                </c:pt>
                <c:pt idx="1">
                  <c:v>220.52689883051468</c:v>
                </c:pt>
                <c:pt idx="2">
                  <c:v>440.95932086911773</c:v>
                </c:pt>
                <c:pt idx="3">
                  <c:v>661.20278932389715</c:v>
                </c:pt>
                <c:pt idx="4">
                  <c:v>881.16282740294105</c:v>
                </c:pt>
                <c:pt idx="5">
                  <c:v>924.09839758192106</c:v>
                </c:pt>
                <c:pt idx="6">
                  <c:v>932.68256698993559</c:v>
                </c:pt>
                <c:pt idx="7">
                  <c:v>942.24569184715642</c:v>
                </c:pt>
                <c:pt idx="8">
                  <c:v>952.4162135321767</c:v>
                </c:pt>
                <c:pt idx="9">
                  <c:v>962.42136415462812</c:v>
                </c:pt>
                <c:pt idx="10">
                  <c:v>970.85004056804894</c:v>
                </c:pt>
                <c:pt idx="11">
                  <c:v>975.31439297252109</c:v>
                </c:pt>
                <c:pt idx="12">
                  <c:v>971.99457651634032</c:v>
                </c:pt>
                <c:pt idx="13">
                  <c:v>955.08461520091498</c:v>
                </c:pt>
                <c:pt idx="14">
                  <c:v>916.25062335769064</c:v>
                </c:pt>
                <c:pt idx="15">
                  <c:v>844.4390321430252</c:v>
                </c:pt>
                <c:pt idx="16">
                  <c:v>844.43834106302518</c:v>
                </c:pt>
                <c:pt idx="17">
                  <c:v>839.02567400268913</c:v>
                </c:pt>
                <c:pt idx="18">
                  <c:v>833.61300694235297</c:v>
                </c:pt>
                <c:pt idx="19">
                  <c:v>828.20033988201692</c:v>
                </c:pt>
                <c:pt idx="20">
                  <c:v>822.78767282168064</c:v>
                </c:pt>
                <c:pt idx="21">
                  <c:v>817.3750057613446</c:v>
                </c:pt>
                <c:pt idx="22">
                  <c:v>811.96233870100843</c:v>
                </c:pt>
                <c:pt idx="23">
                  <c:v>806.54967164067239</c:v>
                </c:pt>
                <c:pt idx="24">
                  <c:v>801.13700458033622</c:v>
                </c:pt>
                <c:pt idx="25">
                  <c:v>795.72502859999997</c:v>
                </c:pt>
                <c:pt idx="26">
                  <c:v>737.95696093642925</c:v>
                </c:pt>
                <c:pt idx="27">
                  <c:v>675.94004310544096</c:v>
                </c:pt>
                <c:pt idx="28">
                  <c:v>610.79449890278067</c:v>
                </c:pt>
                <c:pt idx="29">
                  <c:v>543.64097293303269</c:v>
                </c:pt>
                <c:pt idx="30">
                  <c:v>475.59970439403713</c:v>
                </c:pt>
                <c:pt idx="31">
                  <c:v>407.7903919413119</c:v>
                </c:pt>
                <c:pt idx="32">
                  <c:v>341.33205855246962</c:v>
                </c:pt>
                <c:pt idx="33">
                  <c:v>277.34291639163797</c:v>
                </c:pt>
                <c:pt idx="34">
                  <c:v>216.94023167387786</c:v>
                </c:pt>
                <c:pt idx="35">
                  <c:v>161.24018952960344</c:v>
                </c:pt>
                <c:pt idx="36">
                  <c:v>111.35775886900005</c:v>
                </c:pt>
                <c:pt idx="37">
                  <c:v>111.35775886900005</c:v>
                </c:pt>
                <c:pt idx="38">
                  <c:v>20.363007125000003</c:v>
                </c:pt>
                <c:pt idx="39">
                  <c:v>43.639338645000002</c:v>
                </c:pt>
                <c:pt idx="40">
                  <c:v>19.342599973124997</c:v>
                </c:pt>
                <c:pt idx="41">
                  <c:v>20.603338645000004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E6-48D8-AEEA-EAA8E5F6F8B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Подъём!$C$59:$AT$59</c:f>
              <c:numCache>
                <c:formatCode>General</c:formatCode>
                <c:ptCount val="44"/>
                <c:pt idx="0">
                  <c:v>0</c:v>
                </c:pt>
                <c:pt idx="1">
                  <c:v>268.10526052034606</c:v>
                </c:pt>
                <c:pt idx="2">
                  <c:v>536.09566101661835</c:v>
                </c:pt>
                <c:pt idx="3">
                  <c:v>803.85634146474251</c:v>
                </c:pt>
                <c:pt idx="4">
                  <c:v>1071.2724418406447</c:v>
                </c:pt>
                <c:pt idx="5">
                  <c:v>1123.4712996193139</c:v>
                </c:pt>
                <c:pt idx="6">
                  <c:v>1133.9074912480517</c:v>
                </c:pt>
                <c:pt idx="7">
                  <c:v>1145.5338465581324</c:v>
                </c:pt>
                <c:pt idx="8">
                  <c:v>1157.8986436892337</c:v>
                </c:pt>
                <c:pt idx="9">
                  <c:v>1170.0623911885318</c:v>
                </c:pt>
                <c:pt idx="10">
                  <c:v>1180.3095424324199</c:v>
                </c:pt>
                <c:pt idx="11">
                  <c:v>1185.7370724562086</c:v>
                </c:pt>
                <c:pt idx="12">
                  <c:v>1181.7010103677096</c:v>
                </c:pt>
                <c:pt idx="13">
                  <c:v>1161.1427491854972</c:v>
                </c:pt>
                <c:pt idx="14">
                  <c:v>1113.9303793776105</c:v>
                </c:pt>
                <c:pt idx="15">
                  <c:v>1026.625540498135</c:v>
                </c:pt>
                <c:pt idx="16">
                  <c:v>1026.6247003186174</c:v>
                </c:pt>
                <c:pt idx="17">
                  <c:v>1020.0442581139838</c:v>
                </c:pt>
                <c:pt idx="18">
                  <c:v>1013.4638159093502</c:v>
                </c:pt>
                <c:pt idx="19">
                  <c:v>1006.8833737047164</c:v>
                </c:pt>
                <c:pt idx="20">
                  <c:v>1000.3029315000825</c:v>
                </c:pt>
                <c:pt idx="21">
                  <c:v>993.7224892954489</c:v>
                </c:pt>
                <c:pt idx="22">
                  <c:v>987.14204709081514</c:v>
                </c:pt>
                <c:pt idx="23">
                  <c:v>980.5616048861815</c:v>
                </c:pt>
                <c:pt idx="24">
                  <c:v>973.98116268154774</c:v>
                </c:pt>
                <c:pt idx="25">
                  <c:v>967.40156065643123</c:v>
                </c:pt>
                <c:pt idx="26">
                  <c:v>897.17011536411883</c:v>
                </c:pt>
                <c:pt idx="27">
                  <c:v>821.77313658320054</c:v>
                </c:pt>
                <c:pt idx="28">
                  <c:v>742.57253478442738</c:v>
                </c:pt>
                <c:pt idx="29">
                  <c:v>660.93073203629092</c:v>
                </c:pt>
                <c:pt idx="30">
                  <c:v>578.20965753461644</c:v>
                </c:pt>
                <c:pt idx="31">
                  <c:v>495.77058331167706</c:v>
                </c:pt>
                <c:pt idx="32">
                  <c:v>414.97395994530297</c:v>
                </c:pt>
                <c:pt idx="33">
                  <c:v>337.17925226799474</c:v>
                </c:pt>
                <c:pt idx="34">
                  <c:v>263.74477507603336</c:v>
                </c:pt>
                <c:pt idx="35">
                  <c:v>196.0275288385935</c:v>
                </c:pt>
                <c:pt idx="36">
                  <c:v>135.38303540685337</c:v>
                </c:pt>
                <c:pt idx="37">
                  <c:v>135.38303540685337</c:v>
                </c:pt>
                <c:pt idx="38">
                  <c:v>24.756296665748781</c:v>
                </c:pt>
                <c:pt idx="39">
                  <c:v>53.054463280442199</c:v>
                </c:pt>
                <c:pt idx="40">
                  <c:v>23.515738136421575</c:v>
                </c:pt>
                <c:pt idx="41">
                  <c:v>25.048479366011442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E6-48D8-AEEA-EAA8E5F6F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96064"/>
        <c:axId val="1"/>
      </c:scatterChart>
      <c:valAx>
        <c:axId val="1039396064"/>
        <c:scaling>
          <c:orientation val="minMax"/>
          <c:max val="10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</a:t>
                </a:r>
                <a:r>
                  <a:rPr lang="az-Cyrl-AZ"/>
                  <a:t>с</a:t>
                </a:r>
              </a:p>
            </c:rich>
          </c:tx>
          <c:layout>
            <c:manualLayout>
              <c:xMode val="edge"/>
              <c:yMode val="edge"/>
              <c:x val="0.50757869751878781"/>
              <c:y val="0.85433337463862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ajorUnit val="20"/>
        <c:minorUnit val="5"/>
      </c:valAx>
      <c:valAx>
        <c:axId val="1"/>
        <c:scaling>
          <c:orientation val="minMax"/>
          <c:max val="2800"/>
          <c:min val="-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az-Cyrl-AZ"/>
                  <a:t>Р, кВт</a:t>
                </a:r>
              </a:p>
            </c:rich>
          </c:tx>
          <c:layout>
            <c:manualLayout>
              <c:xMode val="edge"/>
              <c:yMode val="edge"/>
              <c:x val="3.8656655771298412E-2"/>
              <c:y val="0.48345997169472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9396064"/>
        <c:crosses val="autoZero"/>
        <c:crossBetween val="midCat"/>
        <c:majorUnit val="2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потужності, споживаної двигуном з мережі при підйомі
</a:t>
            </a:r>
          </a:p>
        </c:rich>
      </c:tx>
      <c:layout>
        <c:manualLayout>
          <c:xMode val="edge"/>
          <c:yMode val="edge"/>
          <c:x val="0.21849414131603451"/>
          <c:y val="1.11610797309187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45793311755971"/>
          <c:y val="0.17411284380233316"/>
          <c:w val="0.81347049536123617"/>
          <c:h val="0.680825863586046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Подъём!$C$28:$AT$28</c:f>
              <c:numCache>
                <c:formatCode>General</c:formatCode>
                <c:ptCount val="44"/>
                <c:pt idx="0">
                  <c:v>0</c:v>
                </c:pt>
                <c:pt idx="1">
                  <c:v>1.7647058823529413</c:v>
                </c:pt>
                <c:pt idx="2">
                  <c:v>3.5294117647058827</c:v>
                </c:pt>
                <c:pt idx="3">
                  <c:v>5.2941176470588243</c:v>
                </c:pt>
                <c:pt idx="4">
                  <c:v>7.0588235294117654</c:v>
                </c:pt>
                <c:pt idx="5">
                  <c:v>7.708482448134454</c:v>
                </c:pt>
                <c:pt idx="6">
                  <c:v>7.8708971778151264</c:v>
                </c:pt>
                <c:pt idx="7">
                  <c:v>8.0739155899159663</c:v>
                </c:pt>
                <c:pt idx="8">
                  <c:v>8.3276886050420167</c:v>
                </c:pt>
                <c:pt idx="9">
                  <c:v>8.6449048739495797</c:v>
                </c:pt>
                <c:pt idx="10">
                  <c:v>9.041425210084034</c:v>
                </c:pt>
                <c:pt idx="11">
                  <c:v>9.5370756302521009</c:v>
                </c:pt>
                <c:pt idx="12">
                  <c:v>10.156638655462185</c:v>
                </c:pt>
                <c:pt idx="13">
                  <c:v>10.93109243697479</c:v>
                </c:pt>
                <c:pt idx="14">
                  <c:v>11.899159663865547</c:v>
                </c:pt>
                <c:pt idx="15">
                  <c:v>13.109243697478991</c:v>
                </c:pt>
                <c:pt idx="16">
                  <c:v>13.109243697478991</c:v>
                </c:pt>
                <c:pt idx="17">
                  <c:v>19.556425147836912</c:v>
                </c:pt>
                <c:pt idx="18">
                  <c:v>26.003606598194832</c:v>
                </c:pt>
                <c:pt idx="19">
                  <c:v>32.450788048552752</c:v>
                </c:pt>
                <c:pt idx="20">
                  <c:v>38.897969498910669</c:v>
                </c:pt>
                <c:pt idx="21">
                  <c:v>45.345150949268586</c:v>
                </c:pt>
                <c:pt idx="22">
                  <c:v>51.792332399626503</c:v>
                </c:pt>
                <c:pt idx="23">
                  <c:v>58.239513849984419</c:v>
                </c:pt>
                <c:pt idx="24">
                  <c:v>64.686695300342336</c:v>
                </c:pt>
                <c:pt idx="25">
                  <c:v>96.707721755368794</c:v>
                </c:pt>
                <c:pt idx="26">
                  <c:v>97.216812664459709</c:v>
                </c:pt>
                <c:pt idx="27">
                  <c:v>97.725903573550625</c:v>
                </c:pt>
                <c:pt idx="28">
                  <c:v>98.23499448264154</c:v>
                </c:pt>
                <c:pt idx="29">
                  <c:v>98.744085391732455</c:v>
                </c:pt>
                <c:pt idx="30">
                  <c:v>99.25317630082337</c:v>
                </c:pt>
                <c:pt idx="31">
                  <c:v>99.762267209914285</c:v>
                </c:pt>
                <c:pt idx="32">
                  <c:v>100.2713581190052</c:v>
                </c:pt>
                <c:pt idx="33">
                  <c:v>100.78044902809611</c:v>
                </c:pt>
                <c:pt idx="34">
                  <c:v>101.28953993718703</c:v>
                </c:pt>
                <c:pt idx="35">
                  <c:v>101.79863084627794</c:v>
                </c:pt>
                <c:pt idx="36">
                  <c:v>102.30772175536886</c:v>
                </c:pt>
                <c:pt idx="37">
                  <c:v>102.30772175536886</c:v>
                </c:pt>
                <c:pt idx="38">
                  <c:v>107.2410550887022</c:v>
                </c:pt>
                <c:pt idx="39">
                  <c:v>107.2410550887022</c:v>
                </c:pt>
                <c:pt idx="40">
                  <c:v>111.41605508870219</c:v>
                </c:pt>
                <c:pt idx="41">
                  <c:v>111.41605508870219</c:v>
                </c:pt>
                <c:pt idx="42">
                  <c:v>112.66605508870219</c:v>
                </c:pt>
                <c:pt idx="43">
                  <c:v>112.66605508870219</c:v>
                </c:pt>
              </c:numCache>
            </c:numRef>
          </c:xVal>
          <c:yVal>
            <c:numRef>
              <c:f>Подъём!$C$59:$AT$59</c:f>
              <c:numCache>
                <c:formatCode>General</c:formatCode>
                <c:ptCount val="44"/>
                <c:pt idx="0">
                  <c:v>0</c:v>
                </c:pt>
                <c:pt idx="1">
                  <c:v>268.10526052034606</c:v>
                </c:pt>
                <c:pt idx="2">
                  <c:v>536.09566101661835</c:v>
                </c:pt>
                <c:pt idx="3">
                  <c:v>803.85634146474251</c:v>
                </c:pt>
                <c:pt idx="4">
                  <c:v>1071.2724418406447</c:v>
                </c:pt>
                <c:pt idx="5">
                  <c:v>1123.4712996193139</c:v>
                </c:pt>
                <c:pt idx="6">
                  <c:v>1133.9074912480517</c:v>
                </c:pt>
                <c:pt idx="7">
                  <c:v>1145.5338465581324</c:v>
                </c:pt>
                <c:pt idx="8">
                  <c:v>1157.8986436892337</c:v>
                </c:pt>
                <c:pt idx="9">
                  <c:v>1170.0623911885318</c:v>
                </c:pt>
                <c:pt idx="10">
                  <c:v>1180.3095424324199</c:v>
                </c:pt>
                <c:pt idx="11">
                  <c:v>1185.7370724562086</c:v>
                </c:pt>
                <c:pt idx="12">
                  <c:v>1181.7010103677096</c:v>
                </c:pt>
                <c:pt idx="13">
                  <c:v>1161.1427491854972</c:v>
                </c:pt>
                <c:pt idx="14">
                  <c:v>1113.9303793776105</c:v>
                </c:pt>
                <c:pt idx="15">
                  <c:v>1026.625540498135</c:v>
                </c:pt>
                <c:pt idx="16">
                  <c:v>1026.6247003186174</c:v>
                </c:pt>
                <c:pt idx="17">
                  <c:v>1020.0442581139838</c:v>
                </c:pt>
                <c:pt idx="18">
                  <c:v>1013.4638159093502</c:v>
                </c:pt>
                <c:pt idx="19">
                  <c:v>1006.8833737047164</c:v>
                </c:pt>
                <c:pt idx="20">
                  <c:v>1000.3029315000825</c:v>
                </c:pt>
                <c:pt idx="21">
                  <c:v>993.7224892954489</c:v>
                </c:pt>
                <c:pt idx="22">
                  <c:v>987.14204709081514</c:v>
                </c:pt>
                <c:pt idx="23">
                  <c:v>980.5616048861815</c:v>
                </c:pt>
                <c:pt idx="24">
                  <c:v>973.98116268154774</c:v>
                </c:pt>
                <c:pt idx="25">
                  <c:v>967.40156065643123</c:v>
                </c:pt>
                <c:pt idx="26">
                  <c:v>897.17011536411883</c:v>
                </c:pt>
                <c:pt idx="27">
                  <c:v>821.77313658320054</c:v>
                </c:pt>
                <c:pt idx="28">
                  <c:v>742.57253478442738</c:v>
                </c:pt>
                <c:pt idx="29">
                  <c:v>660.93073203629092</c:v>
                </c:pt>
                <c:pt idx="30">
                  <c:v>578.20965753461644</c:v>
                </c:pt>
                <c:pt idx="31">
                  <c:v>495.77058331167706</c:v>
                </c:pt>
                <c:pt idx="32">
                  <c:v>414.97395994530297</c:v>
                </c:pt>
                <c:pt idx="33">
                  <c:v>337.17925226799474</c:v>
                </c:pt>
                <c:pt idx="34">
                  <c:v>263.74477507603336</c:v>
                </c:pt>
                <c:pt idx="35">
                  <c:v>196.0275288385935</c:v>
                </c:pt>
                <c:pt idx="36">
                  <c:v>135.38303540685337</c:v>
                </c:pt>
                <c:pt idx="37">
                  <c:v>135.38303540685337</c:v>
                </c:pt>
                <c:pt idx="38">
                  <c:v>24.756296665748781</c:v>
                </c:pt>
                <c:pt idx="39">
                  <c:v>53.054463280442199</c:v>
                </c:pt>
                <c:pt idx="40">
                  <c:v>23.515738136421575</c:v>
                </c:pt>
                <c:pt idx="41">
                  <c:v>25.048479366011442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C-4943-B6D1-7A52A25FD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97728"/>
        <c:axId val="1"/>
      </c:scatterChart>
      <c:valAx>
        <c:axId val="1039397728"/>
        <c:scaling>
          <c:orientation val="minMax"/>
          <c:max val="10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</a:t>
                </a:r>
                <a:r>
                  <a:rPr lang="az-Cyrl-AZ"/>
                  <a:t>с</a:t>
                </a:r>
              </a:p>
            </c:rich>
          </c:tx>
          <c:layout>
            <c:manualLayout>
              <c:xMode val="edge"/>
              <c:yMode val="edge"/>
              <c:x val="0.51094014584672687"/>
              <c:y val="0.859403139280747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ajorUnit val="20"/>
        <c:minorUnit val="5"/>
      </c:valAx>
      <c:valAx>
        <c:axId val="1"/>
        <c:scaling>
          <c:orientation val="minMax"/>
          <c:max val="1700"/>
          <c:min val="-1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P, </a:t>
                </a:r>
                <a:r>
                  <a:rPr lang="az-Cyrl-AZ"/>
                  <a:t>кВт</a:t>
                </a:r>
              </a:p>
            </c:rich>
          </c:tx>
          <c:layout>
            <c:manualLayout>
              <c:xMode val="edge"/>
              <c:yMode val="edge"/>
              <c:x val="8.4036208198474821E-3"/>
              <c:y val="0.455372053021486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9397728"/>
        <c:crosses val="autoZero"/>
        <c:crossBetween val="midCat"/>
        <c:majorUnit val="2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4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Диаграмма скорости при спуске</a:t>
            </a:r>
          </a:p>
        </c:rich>
      </c:tx>
      <c:layout>
        <c:manualLayout>
          <c:xMode val="edge"/>
          <c:yMode val="edge"/>
          <c:x val="0.24573461454590603"/>
          <c:y val="2.98517006512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16712325718003"/>
          <c:y val="0.22815228354916336"/>
          <c:w val="0.82481357578017156"/>
          <c:h val="0.6332825066738458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'!$C$23:$IV$23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'!$C$61:$IV$61</c:f>
              <c:numCache>
                <c:formatCode>General</c:formatCode>
                <c:ptCount val="90"/>
                <c:pt idx="0">
                  <c:v>0</c:v>
                </c:pt>
                <c:pt idx="1">
                  <c:v>0.39333333333329923</c:v>
                </c:pt>
                <c:pt idx="2">
                  <c:v>0.77333333333326748</c:v>
                </c:pt>
                <c:pt idx="3">
                  <c:v>1.1399999999999049</c:v>
                </c:pt>
                <c:pt idx="4">
                  <c:v>1.4933333333332111</c:v>
                </c:pt>
                <c:pt idx="5">
                  <c:v>1.8333333333331863</c:v>
                </c:pt>
                <c:pt idx="6">
                  <c:v>2.1599999999998305</c:v>
                </c:pt>
                <c:pt idx="7">
                  <c:v>2.473333333333144</c:v>
                </c:pt>
                <c:pt idx="8">
                  <c:v>2.773333333333126</c:v>
                </c:pt>
                <c:pt idx="9">
                  <c:v>3.0599999999997776</c:v>
                </c:pt>
                <c:pt idx="10">
                  <c:v>3.3333333333330977</c:v>
                </c:pt>
                <c:pt idx="11">
                  <c:v>3.5933333333330877</c:v>
                </c:pt>
                <c:pt idx="12">
                  <c:v>3.8399999999997458</c:v>
                </c:pt>
                <c:pt idx="13">
                  <c:v>4.0733333333330739</c:v>
                </c:pt>
                <c:pt idx="14">
                  <c:v>4.2933333333330701</c:v>
                </c:pt>
                <c:pt idx="15">
                  <c:v>4.4999999999997362</c:v>
                </c:pt>
                <c:pt idx="16">
                  <c:v>4.6933333333330705</c:v>
                </c:pt>
                <c:pt idx="17">
                  <c:v>4.8733333333330737</c:v>
                </c:pt>
                <c:pt idx="18">
                  <c:v>5.0399999999997469</c:v>
                </c:pt>
                <c:pt idx="19">
                  <c:v>5.1933333333330873</c:v>
                </c:pt>
                <c:pt idx="20">
                  <c:v>5.3333333333330994</c:v>
                </c:pt>
                <c:pt idx="21">
                  <c:v>5.459999999999777</c:v>
                </c:pt>
                <c:pt idx="22">
                  <c:v>5.5733333333331281</c:v>
                </c:pt>
                <c:pt idx="23">
                  <c:v>5.6733333333331455</c:v>
                </c:pt>
                <c:pt idx="24">
                  <c:v>5.759999999999831</c:v>
                </c:pt>
                <c:pt idx="25">
                  <c:v>5.8333333333331874</c:v>
                </c:pt>
                <c:pt idx="26">
                  <c:v>5.893333333333211</c:v>
                </c:pt>
                <c:pt idx="27">
                  <c:v>5.9399999999999054</c:v>
                </c:pt>
                <c:pt idx="28">
                  <c:v>5.9733333333332679</c:v>
                </c:pt>
                <c:pt idx="29">
                  <c:v>5.9933333333332985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5.9804687500000231</c:v>
                </c:pt>
                <c:pt idx="36">
                  <c:v>5.9875000000000185</c:v>
                </c:pt>
                <c:pt idx="37">
                  <c:v>5.9929687500000135</c:v>
                </c:pt>
                <c:pt idx="38">
                  <c:v>5.9968750000000091</c:v>
                </c:pt>
                <c:pt idx="39">
                  <c:v>5.9992187500000043</c:v>
                </c:pt>
                <c:pt idx="40">
                  <c:v>6</c:v>
                </c:pt>
                <c:pt idx="41">
                  <c:v>5.9992187499999963</c:v>
                </c:pt>
                <c:pt idx="42">
                  <c:v>5.9968749999999922</c:v>
                </c:pt>
                <c:pt idx="43">
                  <c:v>5.9929687499999877</c:v>
                </c:pt>
                <c:pt idx="44">
                  <c:v>5.9874999999999847</c:v>
                </c:pt>
                <c:pt idx="45">
                  <c:v>5.9804687499999813</c:v>
                </c:pt>
                <c:pt idx="46">
                  <c:v>5.9718749999999776</c:v>
                </c:pt>
                <c:pt idx="47">
                  <c:v>5.9617187499999744</c:v>
                </c:pt>
                <c:pt idx="48">
                  <c:v>5.9499999999999718</c:v>
                </c:pt>
                <c:pt idx="49">
                  <c:v>5.9367187499999687</c:v>
                </c:pt>
                <c:pt idx="50">
                  <c:v>5.9218749999999662</c:v>
                </c:pt>
                <c:pt idx="51">
                  <c:v>5.9054687499999643</c:v>
                </c:pt>
                <c:pt idx="52">
                  <c:v>5.887499999999962</c:v>
                </c:pt>
                <c:pt idx="53">
                  <c:v>5.8679687499999593</c:v>
                </c:pt>
                <c:pt idx="54">
                  <c:v>5.8468749999999581</c:v>
                </c:pt>
                <c:pt idx="55">
                  <c:v>5.8242187499999565</c:v>
                </c:pt>
                <c:pt idx="56">
                  <c:v>5.7999999999999545</c:v>
                </c:pt>
                <c:pt idx="57">
                  <c:v>5.7742187499999531</c:v>
                </c:pt>
                <c:pt idx="58">
                  <c:v>5.7468749999999522</c:v>
                </c:pt>
                <c:pt idx="59">
                  <c:v>5.717968749999951</c:v>
                </c:pt>
                <c:pt idx="60">
                  <c:v>5.6874999999999503</c:v>
                </c:pt>
                <c:pt idx="61">
                  <c:v>5.6554687499999492</c:v>
                </c:pt>
                <c:pt idx="62">
                  <c:v>5.6218749999999496</c:v>
                </c:pt>
                <c:pt idx="63">
                  <c:v>5.5867187499999487</c:v>
                </c:pt>
                <c:pt idx="64">
                  <c:v>5.5499999999999492</c:v>
                </c:pt>
                <c:pt idx="65">
                  <c:v>5.5117187499999494</c:v>
                </c:pt>
                <c:pt idx="66">
                  <c:v>5.4718749999999492</c:v>
                </c:pt>
                <c:pt idx="67">
                  <c:v>5.4304687499999496</c:v>
                </c:pt>
                <c:pt idx="68">
                  <c:v>5.3874999999999504</c:v>
                </c:pt>
                <c:pt idx="69">
                  <c:v>5.342968749999951</c:v>
                </c:pt>
                <c:pt idx="70">
                  <c:v>5.296874999999952</c:v>
                </c:pt>
                <c:pt idx="71">
                  <c:v>5.2492187499999527</c:v>
                </c:pt>
                <c:pt idx="72">
                  <c:v>5.1999999999999549</c:v>
                </c:pt>
                <c:pt idx="73">
                  <c:v>5.1492187499999558</c:v>
                </c:pt>
                <c:pt idx="74">
                  <c:v>5.0968749999999581</c:v>
                </c:pt>
                <c:pt idx="75">
                  <c:v>5.0429687499999591</c:v>
                </c:pt>
                <c:pt idx="76">
                  <c:v>4.9874999999999616</c:v>
                </c:pt>
                <c:pt idx="77">
                  <c:v>4.9304687499999638</c:v>
                </c:pt>
                <c:pt idx="78">
                  <c:v>4.8718749999999664</c:v>
                </c:pt>
                <c:pt idx="79">
                  <c:v>4.8117187499999687</c:v>
                </c:pt>
                <c:pt idx="80">
                  <c:v>4.7499999999999716</c:v>
                </c:pt>
                <c:pt idx="81">
                  <c:v>4.6867187499999741</c:v>
                </c:pt>
                <c:pt idx="82">
                  <c:v>4.621874999999978</c:v>
                </c:pt>
                <c:pt idx="83">
                  <c:v>4.5554687499999806</c:v>
                </c:pt>
                <c:pt idx="84">
                  <c:v>4.4874999999999847</c:v>
                </c:pt>
                <c:pt idx="85">
                  <c:v>4.4179687499999876</c:v>
                </c:pt>
                <c:pt idx="86">
                  <c:v>4.3468749999999918</c:v>
                </c:pt>
                <c:pt idx="87">
                  <c:v>4.2742187499999957</c:v>
                </c:pt>
                <c:pt idx="88">
                  <c:v>4.1999999999999993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9B-4039-9ADC-34ABF27F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868016"/>
        <c:axId val="1"/>
      </c:scatterChart>
      <c:valAx>
        <c:axId val="1035868016"/>
        <c:scaling>
          <c:orientation val="minMax"/>
          <c:max val="1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58680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прискорення при спуску</a:t>
            </a:r>
          </a:p>
        </c:rich>
      </c:tx>
      <c:layout>
        <c:manualLayout>
          <c:xMode val="edge"/>
          <c:yMode val="edge"/>
          <c:x val="0.23563954036987758"/>
          <c:y val="3.26097142586393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74532484754475"/>
          <c:y val="0.31250976164529382"/>
          <c:w val="0.73948668766481906"/>
          <c:h val="0.4945806662560302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'!$C$23:$CN$23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'!$C$44:$CN$44</c:f>
              <c:numCache>
                <c:formatCode>General</c:formatCode>
                <c:ptCount val="90"/>
                <c:pt idx="0">
                  <c:v>0.45</c:v>
                </c:pt>
                <c:pt idx="1">
                  <c:v>0.43500000000000133</c:v>
                </c:pt>
                <c:pt idx="2">
                  <c:v>0.42000000000000265</c:v>
                </c:pt>
                <c:pt idx="3">
                  <c:v>0.40500000000000397</c:v>
                </c:pt>
                <c:pt idx="4">
                  <c:v>0.39000000000000529</c:v>
                </c:pt>
                <c:pt idx="5">
                  <c:v>0.37500000000000661</c:v>
                </c:pt>
                <c:pt idx="6">
                  <c:v>0.36000000000000798</c:v>
                </c:pt>
                <c:pt idx="7">
                  <c:v>0.3450000000000093</c:v>
                </c:pt>
                <c:pt idx="8">
                  <c:v>0.33000000000001062</c:v>
                </c:pt>
                <c:pt idx="9">
                  <c:v>0.31500000000001194</c:v>
                </c:pt>
                <c:pt idx="10">
                  <c:v>0.30000000000001326</c:v>
                </c:pt>
                <c:pt idx="11">
                  <c:v>0.28500000000001458</c:v>
                </c:pt>
                <c:pt idx="12">
                  <c:v>0.27000000000001589</c:v>
                </c:pt>
                <c:pt idx="13">
                  <c:v>0.25500000000001716</c:v>
                </c:pt>
                <c:pt idx="14">
                  <c:v>0.24000000000001848</c:v>
                </c:pt>
                <c:pt idx="15">
                  <c:v>0.2250000000000198</c:v>
                </c:pt>
                <c:pt idx="16">
                  <c:v>0.21000000000002109</c:v>
                </c:pt>
                <c:pt idx="17">
                  <c:v>0.19500000000002238</c:v>
                </c:pt>
                <c:pt idx="18">
                  <c:v>0.18000000000002375</c:v>
                </c:pt>
                <c:pt idx="19">
                  <c:v>0.16500000000002507</c:v>
                </c:pt>
                <c:pt idx="20">
                  <c:v>0.15000000000002633</c:v>
                </c:pt>
                <c:pt idx="21">
                  <c:v>0.13500000000002765</c:v>
                </c:pt>
                <c:pt idx="22">
                  <c:v>0.12000000000002897</c:v>
                </c:pt>
                <c:pt idx="23">
                  <c:v>0.10500000000003024</c:v>
                </c:pt>
                <c:pt idx="24">
                  <c:v>9.000000000003161E-2</c:v>
                </c:pt>
                <c:pt idx="25">
                  <c:v>7.5000000000032929E-2</c:v>
                </c:pt>
                <c:pt idx="26">
                  <c:v>6.0000000000034193E-2</c:v>
                </c:pt>
                <c:pt idx="27">
                  <c:v>4.5000000000035512E-2</c:v>
                </c:pt>
                <c:pt idx="28">
                  <c:v>3.0000000000036831E-2</c:v>
                </c:pt>
                <c:pt idx="29">
                  <c:v>1.5000000000038094E-2</c:v>
                </c:pt>
                <c:pt idx="30">
                  <c:v>3.9468428525424315E-14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7.8124999999952954E-2</c:v>
                </c:pt>
                <c:pt idx="36">
                  <c:v>6.2499999999953842E-2</c:v>
                </c:pt>
                <c:pt idx="37">
                  <c:v>4.6874999999954731E-2</c:v>
                </c:pt>
                <c:pt idx="38">
                  <c:v>3.1249999999955619E-2</c:v>
                </c:pt>
                <c:pt idx="39">
                  <c:v>1.5624999999956507E-2</c:v>
                </c:pt>
                <c:pt idx="40">
                  <c:v>-4.2604808569990382E-14</c:v>
                </c:pt>
                <c:pt idx="41">
                  <c:v>-1.5625000000041717E-2</c:v>
                </c:pt>
                <c:pt idx="42">
                  <c:v>-3.1250000000040828E-2</c:v>
                </c:pt>
                <c:pt idx="43">
                  <c:v>-4.687500000003994E-2</c:v>
                </c:pt>
                <c:pt idx="44">
                  <c:v>-6.2500000000039052E-2</c:v>
                </c:pt>
                <c:pt idx="45">
                  <c:v>-7.8125000000038164E-2</c:v>
                </c:pt>
                <c:pt idx="46">
                  <c:v>-9.3750000000037276E-2</c:v>
                </c:pt>
                <c:pt idx="47">
                  <c:v>-0.10937500000003639</c:v>
                </c:pt>
                <c:pt idx="48">
                  <c:v>-0.1250000000000355</c:v>
                </c:pt>
                <c:pt idx="49">
                  <c:v>-0.14062500000003461</c:v>
                </c:pt>
                <c:pt idx="50">
                  <c:v>-0.15625000000003372</c:v>
                </c:pt>
                <c:pt idx="51">
                  <c:v>-0.17187500000003283</c:v>
                </c:pt>
                <c:pt idx="52">
                  <c:v>-0.18750000000003195</c:v>
                </c:pt>
                <c:pt idx="53">
                  <c:v>-0.20312500000003106</c:v>
                </c:pt>
                <c:pt idx="54">
                  <c:v>-0.21875000000003017</c:v>
                </c:pt>
                <c:pt idx="55">
                  <c:v>-0.23437500000002928</c:v>
                </c:pt>
                <c:pt idx="56">
                  <c:v>-0.25000000000002842</c:v>
                </c:pt>
                <c:pt idx="57">
                  <c:v>-0.26562500000002753</c:v>
                </c:pt>
                <c:pt idx="58">
                  <c:v>-0.28125000000002665</c:v>
                </c:pt>
                <c:pt idx="59">
                  <c:v>-0.29687500000002576</c:v>
                </c:pt>
                <c:pt idx="60">
                  <c:v>-0.31250000000002487</c:v>
                </c:pt>
                <c:pt idx="61">
                  <c:v>-0.32812500000002398</c:v>
                </c:pt>
                <c:pt idx="62">
                  <c:v>-0.34375000000002309</c:v>
                </c:pt>
                <c:pt idx="63">
                  <c:v>-0.3593750000000222</c:v>
                </c:pt>
                <c:pt idx="64">
                  <c:v>-0.37500000000002132</c:v>
                </c:pt>
                <c:pt idx="65">
                  <c:v>-0.39062500000002043</c:v>
                </c:pt>
                <c:pt idx="66">
                  <c:v>-0.40625000000001954</c:v>
                </c:pt>
                <c:pt idx="67">
                  <c:v>-0.4218750000000186</c:v>
                </c:pt>
                <c:pt idx="68">
                  <c:v>-0.43750000000001771</c:v>
                </c:pt>
                <c:pt idx="69">
                  <c:v>-0.45312500000001682</c:v>
                </c:pt>
                <c:pt idx="70">
                  <c:v>-0.46875000000001593</c:v>
                </c:pt>
                <c:pt idx="71">
                  <c:v>-0.48437500000001504</c:v>
                </c:pt>
                <c:pt idx="72">
                  <c:v>-0.50000000000001421</c:v>
                </c:pt>
                <c:pt idx="73">
                  <c:v>-0.51562500000001332</c:v>
                </c:pt>
                <c:pt idx="74">
                  <c:v>-0.53125000000001243</c:v>
                </c:pt>
                <c:pt idx="75">
                  <c:v>-0.54687500000001155</c:v>
                </c:pt>
                <c:pt idx="76">
                  <c:v>-0.56250000000001066</c:v>
                </c:pt>
                <c:pt idx="77">
                  <c:v>-0.57812500000000977</c:v>
                </c:pt>
                <c:pt idx="78">
                  <c:v>-0.59375000000000888</c:v>
                </c:pt>
                <c:pt idx="79">
                  <c:v>-0.60937500000000799</c:v>
                </c:pt>
                <c:pt idx="80">
                  <c:v>-0.62500000000000711</c:v>
                </c:pt>
                <c:pt idx="81">
                  <c:v>-0.64062500000000622</c:v>
                </c:pt>
                <c:pt idx="82">
                  <c:v>-0.65625000000000533</c:v>
                </c:pt>
                <c:pt idx="83">
                  <c:v>-0.67187500000000444</c:v>
                </c:pt>
                <c:pt idx="84">
                  <c:v>-0.68750000000000355</c:v>
                </c:pt>
                <c:pt idx="85">
                  <c:v>-0.70312500000000266</c:v>
                </c:pt>
                <c:pt idx="86">
                  <c:v>-0.71875000000000178</c:v>
                </c:pt>
                <c:pt idx="87">
                  <c:v>-0.73437500000000089</c:v>
                </c:pt>
                <c:pt idx="88">
                  <c:v>-0.75</c:v>
                </c:pt>
                <c:pt idx="89">
                  <c:v>-0.75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2-4632-A889-A82BBE95E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314240"/>
        <c:axId val="1"/>
      </c:scatterChart>
      <c:valAx>
        <c:axId val="1028314240"/>
        <c:scaling>
          <c:orientation val="minMax"/>
          <c:max val="11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283142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4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рушійних зусиль при спуску</a:t>
            </a:r>
          </a:p>
        </c:rich>
      </c:tx>
      <c:layout>
        <c:manualLayout>
          <c:xMode val="edge"/>
          <c:yMode val="edge"/>
          <c:x val="0.25047546226797612"/>
          <c:y val="4.4054296705580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757588742878905"/>
          <c:y val="0.24229863188069417"/>
          <c:w val="0.75329560667159978"/>
          <c:h val="0.5594895681608755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'!$C$23:$CN$23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'!$C$47:$IV$47</c:f>
              <c:numCache>
                <c:formatCode>General</c:formatCode>
                <c:ptCount val="90"/>
                <c:pt idx="0">
                  <c:v>144434.53575000001</c:v>
                </c:pt>
                <c:pt idx="1">
                  <c:v>143017.18137666679</c:v>
                </c:pt>
                <c:pt idx="2">
                  <c:v>141605.39036333357</c:v>
                </c:pt>
                <c:pt idx="3">
                  <c:v>140198.97087000037</c:v>
                </c:pt>
                <c:pt idx="4">
                  <c:v>138797.73105666717</c:v>
                </c:pt>
                <c:pt idx="5">
                  <c:v>137401.47908333395</c:v>
                </c:pt>
                <c:pt idx="6">
                  <c:v>136010.02311000077</c:v>
                </c:pt>
                <c:pt idx="7">
                  <c:v>134623.17129666751</c:v>
                </c:pt>
                <c:pt idx="8">
                  <c:v>133240.73180333432</c:v>
                </c:pt>
                <c:pt idx="9">
                  <c:v>131862.51279000108</c:v>
                </c:pt>
                <c:pt idx="10">
                  <c:v>130488.32241666788</c:v>
                </c:pt>
                <c:pt idx="11">
                  <c:v>129117.96884333466</c:v>
                </c:pt>
                <c:pt idx="12">
                  <c:v>127751.26023000144</c:v>
                </c:pt>
                <c:pt idx="13">
                  <c:v>126388.00473666823</c:v>
                </c:pt>
                <c:pt idx="14">
                  <c:v>125028.01052333505</c:v>
                </c:pt>
                <c:pt idx="15">
                  <c:v>123671.08575000179</c:v>
                </c:pt>
                <c:pt idx="16">
                  <c:v>122317.03857666858</c:v>
                </c:pt>
                <c:pt idx="17">
                  <c:v>120965.67716333535</c:v>
                </c:pt>
                <c:pt idx="18">
                  <c:v>119616.80967000214</c:v>
                </c:pt>
                <c:pt idx="19">
                  <c:v>118270.24425666893</c:v>
                </c:pt>
                <c:pt idx="20">
                  <c:v>116925.78908333569</c:v>
                </c:pt>
                <c:pt idx="21">
                  <c:v>115583.25231000248</c:v>
                </c:pt>
                <c:pt idx="22">
                  <c:v>114242.44209666927</c:v>
                </c:pt>
                <c:pt idx="23">
                  <c:v>112903.16660333604</c:v>
                </c:pt>
                <c:pt idx="24">
                  <c:v>111565.23399000282</c:v>
                </c:pt>
                <c:pt idx="25">
                  <c:v>110228.45241666959</c:v>
                </c:pt>
                <c:pt idx="26">
                  <c:v>108892.63004333639</c:v>
                </c:pt>
                <c:pt idx="27">
                  <c:v>107557.57503000318</c:v>
                </c:pt>
                <c:pt idx="28">
                  <c:v>106223.09553666996</c:v>
                </c:pt>
                <c:pt idx="29">
                  <c:v>104888.99972333673</c:v>
                </c:pt>
                <c:pt idx="30">
                  <c:v>103555.09575000354</c:v>
                </c:pt>
                <c:pt idx="31">
                  <c:v>101914.86375</c:v>
                </c:pt>
                <c:pt idx="32">
                  <c:v>108766.93293000004</c:v>
                </c:pt>
                <c:pt idx="33">
                  <c:v>101914.86375</c:v>
                </c:pt>
                <c:pt idx="34">
                  <c:v>101914.86375</c:v>
                </c:pt>
                <c:pt idx="35">
                  <c:v>88882.466440425065</c:v>
                </c:pt>
                <c:pt idx="36">
                  <c:v>87412.777627495438</c:v>
                </c:pt>
                <c:pt idx="37">
                  <c:v>85943.098931128348</c:v>
                </c:pt>
                <c:pt idx="38">
                  <c:v>84473.427822183119</c:v>
                </c:pt>
                <c:pt idx="39">
                  <c:v>83003.76177151913</c:v>
                </c:pt>
                <c:pt idx="40">
                  <c:v>81534.098249995805</c:v>
                </c:pt>
                <c:pt idx="41">
                  <c:v>80064.434728472435</c:v>
                </c:pt>
                <c:pt idx="42">
                  <c:v>78594.768677808446</c:v>
                </c:pt>
                <c:pt idx="43">
                  <c:v>77125.097568863202</c:v>
                </c:pt>
                <c:pt idx="44">
                  <c:v>75655.418872496128</c:v>
                </c:pt>
                <c:pt idx="45">
                  <c:v>74185.730059566515</c:v>
                </c:pt>
                <c:pt idx="46">
                  <c:v>72716.028600933787</c:v>
                </c:pt>
                <c:pt idx="47">
                  <c:v>71246.311967457281</c:v>
                </c:pt>
                <c:pt idx="48">
                  <c:v>69776.577629996449</c:v>
                </c:pt>
                <c:pt idx="49">
                  <c:v>68306.823059410613</c:v>
                </c:pt>
                <c:pt idx="50">
                  <c:v>66837.045726559125</c:v>
                </c:pt>
                <c:pt idx="51">
                  <c:v>65367.243102301385</c:v>
                </c:pt>
                <c:pt idx="52">
                  <c:v>63897.412657496767</c:v>
                </c:pt>
                <c:pt idx="53">
                  <c:v>62427.551863004686</c:v>
                </c:pt>
                <c:pt idx="54">
                  <c:v>60957.658189684473</c:v>
                </c:pt>
                <c:pt idx="55">
                  <c:v>59487.729108395484</c:v>
                </c:pt>
                <c:pt idx="56">
                  <c:v>58017.762089997108</c:v>
                </c:pt>
                <c:pt idx="57">
                  <c:v>56547.754605348746</c:v>
                </c:pt>
                <c:pt idx="58">
                  <c:v>55077.704125309785</c:v>
                </c:pt>
                <c:pt idx="59">
                  <c:v>53607.608120739555</c:v>
                </c:pt>
                <c:pt idx="60">
                  <c:v>52137.464062497427</c:v>
                </c:pt>
                <c:pt idx="61">
                  <c:v>50667.269421442834</c:v>
                </c:pt>
                <c:pt idx="62">
                  <c:v>49197.021668435118</c:v>
                </c:pt>
                <c:pt idx="63">
                  <c:v>47726.718274333623</c:v>
                </c:pt>
                <c:pt idx="64">
                  <c:v>46256.356709997788</c:v>
                </c:pt>
                <c:pt idx="65">
                  <c:v>44785.934446286919</c:v>
                </c:pt>
                <c:pt idx="66">
                  <c:v>43315.448954060455</c:v>
                </c:pt>
                <c:pt idx="67">
                  <c:v>41844.897704177711</c:v>
                </c:pt>
                <c:pt idx="68">
                  <c:v>40374.278167498138</c:v>
                </c:pt>
                <c:pt idx="69">
                  <c:v>38903.587814881008</c:v>
                </c:pt>
                <c:pt idx="70">
                  <c:v>37432.824117185803</c:v>
                </c:pt>
                <c:pt idx="71">
                  <c:v>35961.984545271815</c:v>
                </c:pt>
                <c:pt idx="72">
                  <c:v>34491.06656999846</c:v>
                </c:pt>
                <c:pt idx="73">
                  <c:v>33020.067662225083</c:v>
                </c:pt>
                <c:pt idx="74">
                  <c:v>31548.985292811092</c:v>
                </c:pt>
                <c:pt idx="75">
                  <c:v>30077.816932615868</c:v>
                </c:pt>
                <c:pt idx="76">
                  <c:v>28606.560052498775</c:v>
                </c:pt>
                <c:pt idx="77">
                  <c:v>27135.212123319194</c:v>
                </c:pt>
                <c:pt idx="78">
                  <c:v>25663.770615936432</c:v>
                </c:pt>
                <c:pt idx="79">
                  <c:v>24192.23300120997</c:v>
                </c:pt>
                <c:pt idx="80">
                  <c:v>22720.596749999109</c:v>
                </c:pt>
                <c:pt idx="81">
                  <c:v>21248.859333163266</c:v>
                </c:pt>
                <c:pt idx="82">
                  <c:v>19777.018221561804</c:v>
                </c:pt>
                <c:pt idx="83">
                  <c:v>18305.070886054047</c:v>
                </c:pt>
                <c:pt idx="84">
                  <c:v>16833.014797499462</c:v>
                </c:pt>
                <c:pt idx="85">
                  <c:v>15360.847426757362</c:v>
                </c:pt>
                <c:pt idx="86">
                  <c:v>13888.566244687114</c:v>
                </c:pt>
                <c:pt idx="87">
                  <c:v>12416.168722148126</c:v>
                </c:pt>
                <c:pt idx="88">
                  <c:v>10943.652329999793</c:v>
                </c:pt>
                <c:pt idx="89">
                  <c:v>40352.384249999785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4-4F22-9072-45BB83038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312992"/>
        <c:axId val="1"/>
      </c:scatterChart>
      <c:valAx>
        <c:axId val="1028312992"/>
        <c:scaling>
          <c:orientation val="minMax"/>
          <c:max val="11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28312992"/>
        <c:crosses val="autoZero"/>
        <c:crossBetween val="midCat"/>
        <c:majorUnit val="250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Діаграма потужності на спуск та споживання енергії з сіті
</a:t>
            </a:r>
          </a:p>
        </c:rich>
      </c:tx>
      <c:layout>
        <c:manualLayout>
          <c:xMode val="edge"/>
          <c:yMode val="edge"/>
          <c:x val="0.21132749595974684"/>
          <c:y val="7.2850132721122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925100103728525"/>
          <c:y val="0.35100518492904614"/>
          <c:w val="0.75662790964159354"/>
          <c:h val="0.470214493018156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'!$C$23:$CN$23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'!$C$48:$CN$48</c:f>
              <c:numCache>
                <c:formatCode>General</c:formatCode>
                <c:ptCount val="90"/>
                <c:pt idx="0">
                  <c:v>0</c:v>
                </c:pt>
                <c:pt idx="1">
                  <c:v>56.253424674817389</c:v>
                </c:pt>
                <c:pt idx="2">
                  <c:v>109.50816854763531</c:v>
                </c:pt>
                <c:pt idx="3">
                  <c:v>159.82682679178708</c:v>
                </c:pt>
                <c:pt idx="4">
                  <c:v>207.27127837793932</c:v>
                </c:pt>
                <c:pt idx="5">
                  <c:v>251.90271165275871</c:v>
                </c:pt>
                <c:pt idx="6">
                  <c:v>293.78164991757859</c:v>
                </c:pt>
                <c:pt idx="7">
                  <c:v>332.96797700706549</c:v>
                </c:pt>
                <c:pt idx="8">
                  <c:v>369.52096286788623</c:v>
                </c:pt>
                <c:pt idx="9">
                  <c:v>403.49928913737398</c:v>
                </c:pt>
                <c:pt idx="10">
                  <c:v>434.96107472219552</c:v>
                </c:pt>
                <c:pt idx="11">
                  <c:v>463.96390137701752</c:v>
                </c:pt>
                <c:pt idx="12">
                  <c:v>490.56483928317311</c:v>
                </c:pt>
                <c:pt idx="13">
                  <c:v>514.82047262732908</c:v>
                </c:pt>
                <c:pt idx="14">
                  <c:v>536.78692518015214</c:v>
                </c:pt>
                <c:pt idx="15">
                  <c:v>556.51988587497544</c:v>
                </c:pt>
                <c:pt idx="16">
                  <c:v>574.07463438646573</c:v>
                </c:pt>
                <c:pt idx="17">
                  <c:v>589.5060667092896</c:v>
                </c:pt>
                <c:pt idx="18">
                  <c:v>602.86872073678057</c:v>
                </c:pt>
                <c:pt idx="19">
                  <c:v>614.21680183960484</c:v>
                </c:pt>
                <c:pt idx="20">
                  <c:v>623.60420844442967</c:v>
                </c:pt>
                <c:pt idx="21">
                  <c:v>631.08455761258779</c:v>
                </c:pt>
                <c:pt idx="22">
                  <c:v>636.71121061874658</c:v>
                </c:pt>
                <c:pt idx="23">
                  <c:v>640.53729852957201</c:v>
                </c:pt>
                <c:pt idx="24">
                  <c:v>642.61574778239731</c:v>
                </c:pt>
                <c:pt idx="25">
                  <c:v>642.99930576388988</c:v>
                </c:pt>
                <c:pt idx="26">
                  <c:v>641.74056638871582</c:v>
                </c:pt>
                <c:pt idx="27">
                  <c:v>638.89199567820867</c:v>
                </c:pt>
                <c:pt idx="28">
                  <c:v>634.50595733903504</c:v>
                </c:pt>
                <c:pt idx="29">
                  <c:v>628.63473834186118</c:v>
                </c:pt>
                <c:pt idx="30">
                  <c:v>621.33057450002127</c:v>
                </c:pt>
                <c:pt idx="31">
                  <c:v>611.48918249999997</c:v>
                </c:pt>
                <c:pt idx="32">
                  <c:v>652.60159758000032</c:v>
                </c:pt>
                <c:pt idx="33">
                  <c:v>611.48918249999997</c:v>
                </c:pt>
                <c:pt idx="34">
                  <c:v>611.48918249999997</c:v>
                </c:pt>
                <c:pt idx="35">
                  <c:v>531.55881296988787</c:v>
                </c:pt>
                <c:pt idx="36">
                  <c:v>523.3840060446305</c:v>
                </c:pt>
                <c:pt idx="37">
                  <c:v>515.05430617241177</c:v>
                </c:pt>
                <c:pt idx="38">
                  <c:v>506.57658747115516</c:v>
                </c:pt>
                <c:pt idx="39">
                  <c:v>497.95772394023112</c:v>
                </c:pt>
                <c:pt idx="40">
                  <c:v>489.20458949997487</c:v>
                </c:pt>
                <c:pt idx="41">
                  <c:v>480.3240580312027</c:v>
                </c:pt>
                <c:pt idx="42">
                  <c:v>471.32300341473194</c:v>
                </c:pt>
                <c:pt idx="43">
                  <c:v>462.20829957089717</c:v>
                </c:pt>
                <c:pt idx="44">
                  <c:v>452.98682049906938</c:v>
                </c:pt>
                <c:pt idx="45">
                  <c:v>443.66544031717183</c:v>
                </c:pt>
                <c:pt idx="46">
                  <c:v>434.25103330119987</c:v>
                </c:pt>
                <c:pt idx="47">
                  <c:v>424.75047392473766</c:v>
                </c:pt>
                <c:pt idx="48">
                  <c:v>415.17063689847691</c:v>
                </c:pt>
                <c:pt idx="49">
                  <c:v>405.51839720973322</c:v>
                </c:pt>
                <c:pt idx="50">
                  <c:v>395.80063016196505</c:v>
                </c:pt>
                <c:pt idx="51">
                  <c:v>386.02421141429153</c:v>
                </c:pt>
                <c:pt idx="52">
                  <c:v>376.19601702100977</c:v>
                </c:pt>
                <c:pt idx="53">
                  <c:v>366.32292347111326</c:v>
                </c:pt>
                <c:pt idx="54">
                  <c:v>356.41180772780882</c:v>
                </c:pt>
                <c:pt idx="55">
                  <c:v>346.46954726803517</c:v>
                </c:pt>
                <c:pt idx="56">
                  <c:v>336.50302012198057</c:v>
                </c:pt>
                <c:pt idx="57">
                  <c:v>326.51910491260094</c:v>
                </c:pt>
                <c:pt idx="58">
                  <c:v>316.52468089513701</c:v>
                </c:pt>
                <c:pt idx="59">
                  <c:v>306.52662799663239</c:v>
                </c:pt>
                <c:pt idx="60">
                  <c:v>296.53182685545153</c:v>
                </c:pt>
                <c:pt idx="61">
                  <c:v>286.54715886079794</c:v>
                </c:pt>
                <c:pt idx="62">
                  <c:v>276.57950619223118</c:v>
                </c:pt>
                <c:pt idx="63">
                  <c:v>266.63575185918484</c:v>
                </c:pt>
                <c:pt idx="64">
                  <c:v>256.72277974048535</c:v>
                </c:pt>
                <c:pt idx="65">
                  <c:v>246.84747462386821</c:v>
                </c:pt>
                <c:pt idx="66">
                  <c:v>237.01672224549736</c:v>
                </c:pt>
                <c:pt idx="67">
                  <c:v>227.23740932948169</c:v>
                </c:pt>
                <c:pt idx="68">
                  <c:v>217.51642362739423</c:v>
                </c:pt>
                <c:pt idx="69">
                  <c:v>207.86065395778812</c:v>
                </c:pt>
                <c:pt idx="70">
                  <c:v>198.27699024571677</c:v>
                </c:pt>
                <c:pt idx="71">
                  <c:v>188.77232356224934</c:v>
                </c:pt>
                <c:pt idx="72">
                  <c:v>179.35354616399042</c:v>
                </c:pt>
                <c:pt idx="73">
                  <c:v>170.02755153259662</c:v>
                </c:pt>
                <c:pt idx="74">
                  <c:v>160.80123441429521</c:v>
                </c:pt>
                <c:pt idx="75">
                  <c:v>151.68149085940144</c:v>
                </c:pt>
                <c:pt idx="76">
                  <c:v>142.67521826183653</c:v>
                </c:pt>
                <c:pt idx="77">
                  <c:v>133.78931539864544</c:v>
                </c:pt>
                <c:pt idx="78">
                  <c:v>125.03068246951445</c:v>
                </c:pt>
                <c:pt idx="79">
                  <c:v>116.40622113629003</c:v>
                </c:pt>
                <c:pt idx="80">
                  <c:v>107.92283456249511</c:v>
                </c:pt>
                <c:pt idx="81">
                  <c:v>99.587427452848218</c:v>
                </c:pt>
                <c:pt idx="82">
                  <c:v>91.406906092780531</c:v>
                </c:pt>
                <c:pt idx="83">
                  <c:v>83.388178387953673</c:v>
                </c:pt>
                <c:pt idx="84">
                  <c:v>75.538153903778564</c:v>
                </c:pt>
                <c:pt idx="85">
                  <c:v>67.863743904931752</c:v>
                </c:pt>
                <c:pt idx="86">
                  <c:v>60.371861394874188</c:v>
                </c:pt>
                <c:pt idx="87">
                  <c:v>53.069421155369014</c:v>
                </c:pt>
                <c:pt idx="88">
                  <c:v>45.963339785999125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6-4D03-AE6A-C0655DE925C2}"/>
            </c:ext>
          </c:extLst>
        </c:ser>
        <c:ser>
          <c:idx val="1"/>
          <c:order val="1"/>
          <c:spPr>
            <a:ln w="3175">
              <a:solidFill>
                <a:srgbClr val="000000"/>
              </a:solidFill>
              <a:prstDash val="lgDashDot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'!$C$23:$CN$23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'!$C$49:$CN$49</c:f>
              <c:numCache>
                <c:formatCode>General</c:formatCode>
                <c:ptCount val="90"/>
                <c:pt idx="0">
                  <c:v>0</c:v>
                </c:pt>
                <c:pt idx="1">
                  <c:v>68.390020254149064</c:v>
                </c:pt>
                <c:pt idx="2">
                  <c:v>133.13439863013744</c:v>
                </c:pt>
                <c:pt idx="3">
                  <c:v>194.3092351200425</c:v>
                </c:pt>
                <c:pt idx="4">
                  <c:v>251.98975899357822</c:v>
                </c:pt>
                <c:pt idx="5">
                  <c:v>306.2503598953225</c:v>
                </c:pt>
                <c:pt idx="6">
                  <c:v>357.16461894194452</c:v>
                </c:pt>
                <c:pt idx="7">
                  <c:v>404.80533981943154</c:v>
                </c:pt>
                <c:pt idx="8">
                  <c:v>449.24457988031713</c:v>
                </c:pt>
                <c:pt idx="9">
                  <c:v>490.55368124090722</c:v>
                </c:pt>
                <c:pt idx="10">
                  <c:v>528.80330187850848</c:v>
                </c:pt>
                <c:pt idx="11">
                  <c:v>564.06344672865464</c:v>
                </c:pt>
                <c:pt idx="12">
                  <c:v>596.40349878233428</c:v>
                </c:pt>
                <c:pt idx="13">
                  <c:v>625.89225018321827</c:v>
                </c:pt>
                <c:pt idx="14">
                  <c:v>652.59793332488653</c:v>
                </c:pt>
                <c:pt idx="15">
                  <c:v>676.58825194805524</c:v>
                </c:pt>
                <c:pt idx="16">
                  <c:v>697.93041223780506</c:v>
                </c:pt>
                <c:pt idx="17">
                  <c:v>716.69115392080687</c:v>
                </c:pt>
                <c:pt idx="18">
                  <c:v>732.93678136255085</c:v>
                </c:pt>
                <c:pt idx="19">
                  <c:v>746.73319466457178</c:v>
                </c:pt>
                <c:pt idx="20">
                  <c:v>758.14592076167821</c:v>
                </c:pt>
                <c:pt idx="21">
                  <c:v>767.24014451917787</c:v>
                </c:pt>
                <c:pt idx="22">
                  <c:v>774.08073983010718</c:v>
                </c:pt>
                <c:pt idx="23">
                  <c:v>778.73230071245541</c:v>
                </c:pt>
                <c:pt idx="24">
                  <c:v>781.25917240639478</c:v>
                </c:pt>
                <c:pt idx="25">
                  <c:v>781.72548247150735</c:v>
                </c:pt>
                <c:pt idx="26">
                  <c:v>780.19517188401016</c:v>
                </c:pt>
                <c:pt idx="27">
                  <c:v>776.73202613398485</c:v>
                </c:pt>
                <c:pt idx="28">
                  <c:v>771.39970632260372</c:v>
                </c:pt>
                <c:pt idx="29">
                  <c:v>764.26178025935701</c:v>
                </c:pt>
                <c:pt idx="30">
                  <c:v>755.38175355928172</c:v>
                </c:pt>
                <c:pt idx="31">
                  <c:v>743.41709537000395</c:v>
                </c:pt>
                <c:pt idx="32">
                  <c:v>793.39945495560426</c:v>
                </c:pt>
                <c:pt idx="33">
                  <c:v>743.41709537000395</c:v>
                </c:pt>
                <c:pt idx="34">
                  <c:v>743.41709537000395</c:v>
                </c:pt>
                <c:pt idx="35">
                  <c:v>646.24186341415975</c:v>
                </c:pt>
                <c:pt idx="36">
                  <c:v>636.30335363588517</c:v>
                </c:pt>
                <c:pt idx="37">
                  <c:v>626.17653297980792</c:v>
                </c:pt>
                <c:pt idx="38">
                  <c:v>615.86975864492081</c:v>
                </c:pt>
                <c:pt idx="39">
                  <c:v>605.39138768608541</c:v>
                </c:pt>
                <c:pt idx="40">
                  <c:v>594.74977706207653</c:v>
                </c:pt>
                <c:pt idx="41">
                  <c:v>583.95328368362414</c:v>
                </c:pt>
                <c:pt idx="42">
                  <c:v>573.0102644614592</c:v>
                </c:pt>
                <c:pt idx="43">
                  <c:v>561.92907635435563</c:v>
                </c:pt>
                <c:pt idx="44">
                  <c:v>550.71807641717612</c:v>
                </c:pt>
                <c:pt idx="45">
                  <c:v>539.38562184891259</c:v>
                </c:pt>
                <c:pt idx="46">
                  <c:v>527.94007004073342</c:v>
                </c:pt>
                <c:pt idx="47">
                  <c:v>516.3897786240251</c:v>
                </c:pt>
                <c:pt idx="48">
                  <c:v>504.74310551843706</c:v>
                </c:pt>
                <c:pt idx="49">
                  <c:v>493.00840897992396</c:v>
                </c:pt>
                <c:pt idx="50">
                  <c:v>481.19404764879096</c:v>
                </c:pt>
                <c:pt idx="51">
                  <c:v>469.3083805977368</c:v>
                </c:pt>
                <c:pt idx="52">
                  <c:v>457.35976737989745</c:v>
                </c:pt>
                <c:pt idx="53">
                  <c:v>445.35656807689031</c:v>
                </c:pt>
                <c:pt idx="54">
                  <c:v>433.30714334685712</c:v>
                </c:pt>
                <c:pt idx="55">
                  <c:v>421.21985447250819</c:v>
                </c:pt>
                <c:pt idx="56">
                  <c:v>409.10306340916634</c:v>
                </c:pt>
                <c:pt idx="57">
                  <c:v>396.96513283281081</c:v>
                </c:pt>
                <c:pt idx="58">
                  <c:v>384.81442618812008</c:v>
                </c:pt>
                <c:pt idx="59">
                  <c:v>372.6593077365161</c:v>
                </c:pt>
                <c:pt idx="60">
                  <c:v>360.50814260420822</c:v>
                </c:pt>
                <c:pt idx="61">
                  <c:v>348.36929683023703</c:v>
                </c:pt>
                <c:pt idx="62">
                  <c:v>336.25113741451764</c:v>
                </c:pt>
                <c:pt idx="63">
                  <c:v>324.16203236588296</c:v>
                </c:pt>
                <c:pt idx="64">
                  <c:v>312.11035075012944</c:v>
                </c:pt>
                <c:pt idx="65">
                  <c:v>300.10446273805809</c:v>
                </c:pt>
                <c:pt idx="66">
                  <c:v>288.1527396535206</c:v>
                </c:pt>
                <c:pt idx="67">
                  <c:v>276.26355402146123</c:v>
                </c:pt>
                <c:pt idx="68">
                  <c:v>264.44527961596231</c:v>
                </c:pt>
                <c:pt idx="69">
                  <c:v>252.70629150828574</c:v>
                </c:pt>
                <c:pt idx="70">
                  <c:v>241.05496611491955</c:v>
                </c:pt>
                <c:pt idx="71">
                  <c:v>229.49968124561869</c:v>
                </c:pt>
                <c:pt idx="72">
                  <c:v>218.04881615145118</c:v>
                </c:pt>
                <c:pt idx="73">
                  <c:v>206.71075157284019</c:v>
                </c:pt>
                <c:pt idx="74">
                  <c:v>195.49386978760899</c:v>
                </c:pt>
                <c:pt idx="75">
                  <c:v>184.40655465902378</c:v>
                </c:pt>
                <c:pt idx="76">
                  <c:v>173.45719168383795</c:v>
                </c:pt>
                <c:pt idx="77">
                  <c:v>162.65416804033543</c:v>
                </c:pt>
                <c:pt idx="78">
                  <c:v>152.00587263637439</c:v>
                </c:pt>
                <c:pt idx="79">
                  <c:v>141.52069615743218</c:v>
                </c:pt>
                <c:pt idx="80">
                  <c:v>131.20703111464707</c:v>
                </c:pt>
                <c:pt idx="81">
                  <c:v>121.07327189286364</c:v>
                </c:pt>
                <c:pt idx="82">
                  <c:v>111.12781479867571</c:v>
                </c:pt>
                <c:pt idx="83">
                  <c:v>101.37905810846989</c:v>
                </c:pt>
                <c:pt idx="84">
                  <c:v>91.835402116470618</c:v>
                </c:pt>
                <c:pt idx="85">
                  <c:v>82.505249182782023</c:v>
                </c:pt>
                <c:pt idx="86">
                  <c:v>73.397003781432943</c:v>
                </c:pt>
                <c:pt idx="87">
                  <c:v>64.519072548420539</c:v>
                </c:pt>
                <c:pt idx="88">
                  <c:v>55.879864329753715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56-4D03-AE6A-C0655DE92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097984"/>
        <c:axId val="1"/>
      </c:scatterChart>
      <c:valAx>
        <c:axId val="1027097984"/>
        <c:scaling>
          <c:orientation val="minMax"/>
          <c:max val="11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27097984"/>
        <c:crosses val="autoZero"/>
        <c:crossBetween val="midCat"/>
        <c:majorUnit val="2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4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az-Cyrl-AZ"/>
              <a:t>Диаграмма мощности, потребляемой двигателем из сети при спуске
</a:t>
            </a:r>
          </a:p>
        </c:rich>
      </c:tx>
      <c:layout>
        <c:manualLayout>
          <c:xMode val="edge"/>
          <c:yMode val="edge"/>
          <c:x val="0.15955977200893656"/>
          <c:y val="3.50120756472251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25788768429038"/>
          <c:y val="0.24070802007467276"/>
          <c:w val="0.76625797488012559"/>
          <c:h val="0.577699248179214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'Спуск '!$C$23:$CN$23</c:f>
              <c:numCache>
                <c:formatCode>General</c:formatCode>
                <c:ptCount val="90"/>
                <c:pt idx="0">
                  <c:v>0</c:v>
                </c:pt>
                <c:pt idx="1">
                  <c:v>0.88888888888881046</c:v>
                </c:pt>
                <c:pt idx="2">
                  <c:v>1.7777777777776209</c:v>
                </c:pt>
                <c:pt idx="3">
                  <c:v>2.6666666666664316</c:v>
                </c:pt>
                <c:pt idx="4">
                  <c:v>3.5555555555552418</c:v>
                </c:pt>
                <c:pt idx="5">
                  <c:v>4.4444444444440521</c:v>
                </c:pt>
                <c:pt idx="6">
                  <c:v>5.3333333333328623</c:v>
                </c:pt>
                <c:pt idx="7">
                  <c:v>6.2222222222216725</c:v>
                </c:pt>
                <c:pt idx="8">
                  <c:v>7.1111111111104828</c:v>
                </c:pt>
                <c:pt idx="9">
                  <c:v>7.999999999999293</c:v>
                </c:pt>
                <c:pt idx="10">
                  <c:v>8.8888888888881041</c:v>
                </c:pt>
                <c:pt idx="11">
                  <c:v>9.7777777777769153</c:v>
                </c:pt>
                <c:pt idx="12">
                  <c:v>10.666666666665726</c:v>
                </c:pt>
                <c:pt idx="13">
                  <c:v>11.555555555554538</c:v>
                </c:pt>
                <c:pt idx="14">
                  <c:v>12.444444444443349</c:v>
                </c:pt>
                <c:pt idx="15">
                  <c:v>13.33333333333216</c:v>
                </c:pt>
                <c:pt idx="16">
                  <c:v>14.222222222220971</c:v>
                </c:pt>
                <c:pt idx="17">
                  <c:v>15.111111111109782</c:v>
                </c:pt>
                <c:pt idx="18">
                  <c:v>15.999999999998593</c:v>
                </c:pt>
                <c:pt idx="19">
                  <c:v>16.888888888887404</c:v>
                </c:pt>
                <c:pt idx="20">
                  <c:v>17.777777777776215</c:v>
                </c:pt>
                <c:pt idx="21">
                  <c:v>18.666666666665026</c:v>
                </c:pt>
                <c:pt idx="22">
                  <c:v>19.555555555553838</c:v>
                </c:pt>
                <c:pt idx="23">
                  <c:v>20.444444444442649</c:v>
                </c:pt>
                <c:pt idx="24">
                  <c:v>21.33333333333146</c:v>
                </c:pt>
                <c:pt idx="25">
                  <c:v>22.222222222220271</c:v>
                </c:pt>
                <c:pt idx="26">
                  <c:v>23.111111111109082</c:v>
                </c:pt>
                <c:pt idx="27">
                  <c:v>23.999999999997893</c:v>
                </c:pt>
                <c:pt idx="28">
                  <c:v>24.888888888886704</c:v>
                </c:pt>
                <c:pt idx="29">
                  <c:v>25.777777777775515</c:v>
                </c:pt>
                <c:pt idx="30">
                  <c:v>26.666666666664327</c:v>
                </c:pt>
                <c:pt idx="31">
                  <c:v>27.555555555553138</c:v>
                </c:pt>
                <c:pt idx="32">
                  <c:v>98.99777777777561</c:v>
                </c:pt>
                <c:pt idx="33">
                  <c:v>99.886666666664411</c:v>
                </c:pt>
                <c:pt idx="34">
                  <c:v>100.77555555555323</c:v>
                </c:pt>
                <c:pt idx="35">
                  <c:v>101.07555555555322</c:v>
                </c:pt>
                <c:pt idx="36">
                  <c:v>101.17555555555322</c:v>
                </c:pt>
                <c:pt idx="37">
                  <c:v>101.27555555555321</c:v>
                </c:pt>
                <c:pt idx="38">
                  <c:v>101.37555555555321</c:v>
                </c:pt>
                <c:pt idx="39">
                  <c:v>101.4755555555532</c:v>
                </c:pt>
                <c:pt idx="40">
                  <c:v>101.57555555555319</c:v>
                </c:pt>
                <c:pt idx="41">
                  <c:v>101.67555555555319</c:v>
                </c:pt>
                <c:pt idx="42">
                  <c:v>101.77555555555318</c:v>
                </c:pt>
                <c:pt idx="43">
                  <c:v>101.87555555555318</c:v>
                </c:pt>
                <c:pt idx="44">
                  <c:v>101.97555555555317</c:v>
                </c:pt>
                <c:pt idx="45">
                  <c:v>102.07555555555317</c:v>
                </c:pt>
                <c:pt idx="46">
                  <c:v>102.17555555555316</c:v>
                </c:pt>
                <c:pt idx="47">
                  <c:v>102.27555555555315</c:v>
                </c:pt>
                <c:pt idx="48">
                  <c:v>102.37555555555315</c:v>
                </c:pt>
                <c:pt idx="49">
                  <c:v>102.47555555555314</c:v>
                </c:pt>
                <c:pt idx="50">
                  <c:v>102.57555555555314</c:v>
                </c:pt>
                <c:pt idx="51">
                  <c:v>102.67555555555313</c:v>
                </c:pt>
                <c:pt idx="52">
                  <c:v>102.77555555555313</c:v>
                </c:pt>
                <c:pt idx="53">
                  <c:v>102.87555555555312</c:v>
                </c:pt>
                <c:pt idx="54">
                  <c:v>102.97555555555311</c:v>
                </c:pt>
                <c:pt idx="55">
                  <c:v>103.07555555555311</c:v>
                </c:pt>
                <c:pt idx="56">
                  <c:v>103.1755555555531</c:v>
                </c:pt>
                <c:pt idx="57">
                  <c:v>103.2755555555531</c:v>
                </c:pt>
                <c:pt idx="58">
                  <c:v>103.37555555555309</c:v>
                </c:pt>
                <c:pt idx="59">
                  <c:v>103.47555555555309</c:v>
                </c:pt>
                <c:pt idx="60">
                  <c:v>103.57555555555308</c:v>
                </c:pt>
                <c:pt idx="61">
                  <c:v>103.67555555555307</c:v>
                </c:pt>
                <c:pt idx="62">
                  <c:v>103.77555555555307</c:v>
                </c:pt>
                <c:pt idx="63">
                  <c:v>103.87555555555306</c:v>
                </c:pt>
                <c:pt idx="64">
                  <c:v>103.97555555555306</c:v>
                </c:pt>
                <c:pt idx="65">
                  <c:v>104.07555555555305</c:v>
                </c:pt>
                <c:pt idx="66">
                  <c:v>104.17555555555305</c:v>
                </c:pt>
                <c:pt idx="67">
                  <c:v>104.27555555555304</c:v>
                </c:pt>
                <c:pt idx="68">
                  <c:v>104.37555555555303</c:v>
                </c:pt>
                <c:pt idx="69">
                  <c:v>104.47555555555303</c:v>
                </c:pt>
                <c:pt idx="70">
                  <c:v>104.57555555555302</c:v>
                </c:pt>
                <c:pt idx="71">
                  <c:v>104.67555555555302</c:v>
                </c:pt>
                <c:pt idx="72">
                  <c:v>104.77555555555301</c:v>
                </c:pt>
                <c:pt idx="73">
                  <c:v>104.87555555555301</c:v>
                </c:pt>
                <c:pt idx="74">
                  <c:v>104.975555555553</c:v>
                </c:pt>
                <c:pt idx="75">
                  <c:v>105.075555555553</c:v>
                </c:pt>
                <c:pt idx="76">
                  <c:v>105.17555555555299</c:v>
                </c:pt>
                <c:pt idx="77">
                  <c:v>105.27555555555298</c:v>
                </c:pt>
                <c:pt idx="78">
                  <c:v>105.37555555555298</c:v>
                </c:pt>
                <c:pt idx="79">
                  <c:v>105.47555555555297</c:v>
                </c:pt>
                <c:pt idx="80">
                  <c:v>105.57555555555297</c:v>
                </c:pt>
                <c:pt idx="81">
                  <c:v>105.67555555555296</c:v>
                </c:pt>
                <c:pt idx="82">
                  <c:v>105.77555555555296</c:v>
                </c:pt>
                <c:pt idx="83">
                  <c:v>105.87555555555295</c:v>
                </c:pt>
                <c:pt idx="84">
                  <c:v>105.97555555555294</c:v>
                </c:pt>
                <c:pt idx="85">
                  <c:v>106.07555555555294</c:v>
                </c:pt>
                <c:pt idx="86">
                  <c:v>106.17555555555293</c:v>
                </c:pt>
                <c:pt idx="87">
                  <c:v>106.27555555555293</c:v>
                </c:pt>
                <c:pt idx="88">
                  <c:v>106.37555555555292</c:v>
                </c:pt>
                <c:pt idx="89">
                  <c:v>111.97555555555292</c:v>
                </c:pt>
              </c:numCache>
            </c:numRef>
          </c:xVal>
          <c:yVal>
            <c:numRef>
              <c:f>'Спуск '!$C$49:$IV$49</c:f>
              <c:numCache>
                <c:formatCode>General</c:formatCode>
                <c:ptCount val="90"/>
                <c:pt idx="0">
                  <c:v>0</c:v>
                </c:pt>
                <c:pt idx="1">
                  <c:v>68.390020254149064</c:v>
                </c:pt>
                <c:pt idx="2">
                  <c:v>133.13439863013744</c:v>
                </c:pt>
                <c:pt idx="3">
                  <c:v>194.3092351200425</c:v>
                </c:pt>
                <c:pt idx="4">
                  <c:v>251.98975899357822</c:v>
                </c:pt>
                <c:pt idx="5">
                  <c:v>306.2503598953225</c:v>
                </c:pt>
                <c:pt idx="6">
                  <c:v>357.16461894194452</c:v>
                </c:pt>
                <c:pt idx="7">
                  <c:v>404.80533981943154</c:v>
                </c:pt>
                <c:pt idx="8">
                  <c:v>449.24457988031713</c:v>
                </c:pt>
                <c:pt idx="9">
                  <c:v>490.55368124090722</c:v>
                </c:pt>
                <c:pt idx="10">
                  <c:v>528.80330187850848</c:v>
                </c:pt>
                <c:pt idx="11">
                  <c:v>564.06344672865464</c:v>
                </c:pt>
                <c:pt idx="12">
                  <c:v>596.40349878233428</c:v>
                </c:pt>
                <c:pt idx="13">
                  <c:v>625.89225018321827</c:v>
                </c:pt>
                <c:pt idx="14">
                  <c:v>652.59793332488653</c:v>
                </c:pt>
                <c:pt idx="15">
                  <c:v>676.58825194805524</c:v>
                </c:pt>
                <c:pt idx="16">
                  <c:v>697.93041223780506</c:v>
                </c:pt>
                <c:pt idx="17">
                  <c:v>716.69115392080687</c:v>
                </c:pt>
                <c:pt idx="18">
                  <c:v>732.93678136255085</c:v>
                </c:pt>
                <c:pt idx="19">
                  <c:v>746.73319466457178</c:v>
                </c:pt>
                <c:pt idx="20">
                  <c:v>758.14592076167821</c:v>
                </c:pt>
                <c:pt idx="21">
                  <c:v>767.24014451917787</c:v>
                </c:pt>
                <c:pt idx="22">
                  <c:v>774.08073983010718</c:v>
                </c:pt>
                <c:pt idx="23">
                  <c:v>778.73230071245541</c:v>
                </c:pt>
                <c:pt idx="24">
                  <c:v>781.25917240639478</c:v>
                </c:pt>
                <c:pt idx="25">
                  <c:v>781.72548247150735</c:v>
                </c:pt>
                <c:pt idx="26">
                  <c:v>780.19517188401016</c:v>
                </c:pt>
                <c:pt idx="27">
                  <c:v>776.73202613398485</c:v>
                </c:pt>
                <c:pt idx="28">
                  <c:v>771.39970632260372</c:v>
                </c:pt>
                <c:pt idx="29">
                  <c:v>764.26178025935701</c:v>
                </c:pt>
                <c:pt idx="30">
                  <c:v>755.38175355928172</c:v>
                </c:pt>
                <c:pt idx="31">
                  <c:v>743.41709537000395</c:v>
                </c:pt>
                <c:pt idx="32">
                  <c:v>793.39945495560426</c:v>
                </c:pt>
                <c:pt idx="33">
                  <c:v>743.41709537000395</c:v>
                </c:pt>
                <c:pt idx="34">
                  <c:v>743.41709537000395</c:v>
                </c:pt>
                <c:pt idx="35">
                  <c:v>646.24186341415975</c:v>
                </c:pt>
                <c:pt idx="36">
                  <c:v>636.30335363588517</c:v>
                </c:pt>
                <c:pt idx="37">
                  <c:v>626.17653297980792</c:v>
                </c:pt>
                <c:pt idx="38">
                  <c:v>615.86975864492081</c:v>
                </c:pt>
                <c:pt idx="39">
                  <c:v>605.39138768608541</c:v>
                </c:pt>
                <c:pt idx="40">
                  <c:v>594.74977706207653</c:v>
                </c:pt>
                <c:pt idx="41">
                  <c:v>583.95328368362414</c:v>
                </c:pt>
                <c:pt idx="42">
                  <c:v>573.0102644614592</c:v>
                </c:pt>
                <c:pt idx="43">
                  <c:v>561.92907635435563</c:v>
                </c:pt>
                <c:pt idx="44">
                  <c:v>550.71807641717612</c:v>
                </c:pt>
                <c:pt idx="45">
                  <c:v>539.38562184891259</c:v>
                </c:pt>
                <c:pt idx="46">
                  <c:v>527.94007004073342</c:v>
                </c:pt>
                <c:pt idx="47">
                  <c:v>516.3897786240251</c:v>
                </c:pt>
                <c:pt idx="48">
                  <c:v>504.74310551843706</c:v>
                </c:pt>
                <c:pt idx="49">
                  <c:v>493.00840897992396</c:v>
                </c:pt>
                <c:pt idx="50">
                  <c:v>481.19404764879096</c:v>
                </c:pt>
                <c:pt idx="51">
                  <c:v>469.3083805977368</c:v>
                </c:pt>
                <c:pt idx="52">
                  <c:v>457.35976737989745</c:v>
                </c:pt>
                <c:pt idx="53">
                  <c:v>445.35656807689031</c:v>
                </c:pt>
                <c:pt idx="54">
                  <c:v>433.30714334685712</c:v>
                </c:pt>
                <c:pt idx="55">
                  <c:v>421.21985447250819</c:v>
                </c:pt>
                <c:pt idx="56">
                  <c:v>409.10306340916634</c:v>
                </c:pt>
                <c:pt idx="57">
                  <c:v>396.96513283281081</c:v>
                </c:pt>
                <c:pt idx="58">
                  <c:v>384.81442618812008</c:v>
                </c:pt>
                <c:pt idx="59">
                  <c:v>372.6593077365161</c:v>
                </c:pt>
                <c:pt idx="60">
                  <c:v>360.50814260420822</c:v>
                </c:pt>
                <c:pt idx="61">
                  <c:v>348.36929683023703</c:v>
                </c:pt>
                <c:pt idx="62">
                  <c:v>336.25113741451764</c:v>
                </c:pt>
                <c:pt idx="63">
                  <c:v>324.16203236588296</c:v>
                </c:pt>
                <c:pt idx="64">
                  <c:v>312.11035075012944</c:v>
                </c:pt>
                <c:pt idx="65">
                  <c:v>300.10446273805809</c:v>
                </c:pt>
                <c:pt idx="66">
                  <c:v>288.1527396535206</c:v>
                </c:pt>
                <c:pt idx="67">
                  <c:v>276.26355402146123</c:v>
                </c:pt>
                <c:pt idx="68">
                  <c:v>264.44527961596231</c:v>
                </c:pt>
                <c:pt idx="69">
                  <c:v>252.70629150828574</c:v>
                </c:pt>
                <c:pt idx="70">
                  <c:v>241.05496611491955</c:v>
                </c:pt>
                <c:pt idx="71">
                  <c:v>229.49968124561869</c:v>
                </c:pt>
                <c:pt idx="72">
                  <c:v>218.04881615145118</c:v>
                </c:pt>
                <c:pt idx="73">
                  <c:v>206.71075157284019</c:v>
                </c:pt>
                <c:pt idx="74">
                  <c:v>195.49386978760899</c:v>
                </c:pt>
                <c:pt idx="75">
                  <c:v>184.40655465902378</c:v>
                </c:pt>
                <c:pt idx="76">
                  <c:v>173.45719168383795</c:v>
                </c:pt>
                <c:pt idx="77">
                  <c:v>162.65416804033543</c:v>
                </c:pt>
                <c:pt idx="78">
                  <c:v>152.00587263637439</c:v>
                </c:pt>
                <c:pt idx="79">
                  <c:v>141.52069615743218</c:v>
                </c:pt>
                <c:pt idx="80">
                  <c:v>131.20703111464707</c:v>
                </c:pt>
                <c:pt idx="81">
                  <c:v>121.07327189286364</c:v>
                </c:pt>
                <c:pt idx="82">
                  <c:v>111.12781479867571</c:v>
                </c:pt>
                <c:pt idx="83">
                  <c:v>101.37905810846989</c:v>
                </c:pt>
                <c:pt idx="84">
                  <c:v>91.835402116470618</c:v>
                </c:pt>
                <c:pt idx="85">
                  <c:v>82.505249182782023</c:v>
                </c:pt>
                <c:pt idx="86">
                  <c:v>73.397003781432943</c:v>
                </c:pt>
                <c:pt idx="87">
                  <c:v>64.519072548420539</c:v>
                </c:pt>
                <c:pt idx="88">
                  <c:v>55.879864329753715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2-42DB-8E21-61819535E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891360"/>
        <c:axId val="1"/>
      </c:scatterChart>
      <c:valAx>
        <c:axId val="1036891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7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036891360"/>
        <c:crosses val="autoZero"/>
        <c:crossBetween val="midCat"/>
        <c:majorUnit val="2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54</xdr:row>
      <xdr:rowOff>0</xdr:rowOff>
    </xdr:from>
    <xdr:to>
      <xdr:col>5</xdr:col>
      <xdr:colOff>85725</xdr:colOff>
      <xdr:row>84</xdr:row>
      <xdr:rowOff>28575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7F612ED4-6C50-4369-9AB1-ACD90D490F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81</xdr:row>
      <xdr:rowOff>76200</xdr:rowOff>
    </xdr:from>
    <xdr:to>
      <xdr:col>4</xdr:col>
      <xdr:colOff>733425</xdr:colOff>
      <xdr:row>104</xdr:row>
      <xdr:rowOff>9525</xdr:rowOff>
    </xdr:to>
    <xdr:graphicFrame macro="">
      <xdr:nvGraphicFramePr>
        <xdr:cNvPr id="3074" name="Chart 2">
          <a:extLst>
            <a:ext uri="{FF2B5EF4-FFF2-40B4-BE49-F238E27FC236}">
              <a16:creationId xmlns:a16="http://schemas.microsoft.com/office/drawing/2014/main" id="{313ACC8A-A386-407F-89C2-D185D47B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105</xdr:row>
      <xdr:rowOff>28575</xdr:rowOff>
    </xdr:from>
    <xdr:to>
      <xdr:col>5</xdr:col>
      <xdr:colOff>0</xdr:colOff>
      <xdr:row>134</xdr:row>
      <xdr:rowOff>76200</xdr:rowOff>
    </xdr:to>
    <xdr:graphicFrame macro="">
      <xdr:nvGraphicFramePr>
        <xdr:cNvPr id="3075" name="Chart 3">
          <a:extLst>
            <a:ext uri="{FF2B5EF4-FFF2-40B4-BE49-F238E27FC236}">
              <a16:creationId xmlns:a16="http://schemas.microsoft.com/office/drawing/2014/main" id="{9E99B943-0834-47A9-BB9A-F8CD25800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133</xdr:row>
      <xdr:rowOff>28575</xdr:rowOff>
    </xdr:from>
    <xdr:to>
      <xdr:col>5</xdr:col>
      <xdr:colOff>47625</xdr:colOff>
      <xdr:row>159</xdr:row>
      <xdr:rowOff>133350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22033DCB-960B-45D5-9335-54C203E9D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166</xdr:row>
      <xdr:rowOff>28575</xdr:rowOff>
    </xdr:from>
    <xdr:to>
      <xdr:col>4</xdr:col>
      <xdr:colOff>742950</xdr:colOff>
      <xdr:row>192</xdr:row>
      <xdr:rowOff>85725</xdr:rowOff>
    </xdr:to>
    <xdr:graphicFrame macro="">
      <xdr:nvGraphicFramePr>
        <xdr:cNvPr id="3077" name="Chart 5">
          <a:extLst>
            <a:ext uri="{FF2B5EF4-FFF2-40B4-BE49-F238E27FC236}">
              <a16:creationId xmlns:a16="http://schemas.microsoft.com/office/drawing/2014/main" id="{B0094D11-4A03-444B-B060-3F655BC84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52</xdr:row>
      <xdr:rowOff>57150</xdr:rowOff>
    </xdr:from>
    <xdr:to>
      <xdr:col>3</xdr:col>
      <xdr:colOff>619125</xdr:colOff>
      <xdr:row>79</xdr:row>
      <xdr:rowOff>152400</xdr:rowOff>
    </xdr:to>
    <xdr:graphicFrame macro="">
      <xdr:nvGraphicFramePr>
        <xdr:cNvPr id="16385" name="Chart 1">
          <a:extLst>
            <a:ext uri="{FF2B5EF4-FFF2-40B4-BE49-F238E27FC236}">
              <a16:creationId xmlns:a16="http://schemas.microsoft.com/office/drawing/2014/main" id="{58F5A5A3-866D-4AEB-B590-9602434738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80</xdr:row>
      <xdr:rowOff>85725</xdr:rowOff>
    </xdr:from>
    <xdr:to>
      <xdr:col>4</xdr:col>
      <xdr:colOff>76200</xdr:colOff>
      <xdr:row>102</xdr:row>
      <xdr:rowOff>28575</xdr:rowOff>
    </xdr:to>
    <xdr:graphicFrame macro="">
      <xdr:nvGraphicFramePr>
        <xdr:cNvPr id="16386" name="Chart 2">
          <a:extLst>
            <a:ext uri="{FF2B5EF4-FFF2-40B4-BE49-F238E27FC236}">
              <a16:creationId xmlns:a16="http://schemas.microsoft.com/office/drawing/2014/main" id="{F481711A-7698-4577-A726-7EE135836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104</xdr:row>
      <xdr:rowOff>95250</xdr:rowOff>
    </xdr:from>
    <xdr:to>
      <xdr:col>4</xdr:col>
      <xdr:colOff>180975</xdr:colOff>
      <xdr:row>131</xdr:row>
      <xdr:rowOff>47625</xdr:rowOff>
    </xdr:to>
    <xdr:graphicFrame macro="">
      <xdr:nvGraphicFramePr>
        <xdr:cNvPr id="16387" name="Chart 3">
          <a:extLst>
            <a:ext uri="{FF2B5EF4-FFF2-40B4-BE49-F238E27FC236}">
              <a16:creationId xmlns:a16="http://schemas.microsoft.com/office/drawing/2014/main" id="{80041AA0-7CE8-4015-89C7-AD9314307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114300</xdr:colOff>
      <xdr:row>130</xdr:row>
      <xdr:rowOff>28575</xdr:rowOff>
    </xdr:from>
    <xdr:to>
      <xdr:col>4</xdr:col>
      <xdr:colOff>219075</xdr:colOff>
      <xdr:row>156</xdr:row>
      <xdr:rowOff>133350</xdr:rowOff>
    </xdr:to>
    <xdr:graphicFrame macro="">
      <xdr:nvGraphicFramePr>
        <xdr:cNvPr id="16388" name="Chart 4">
          <a:extLst>
            <a:ext uri="{FF2B5EF4-FFF2-40B4-BE49-F238E27FC236}">
              <a16:creationId xmlns:a16="http://schemas.microsoft.com/office/drawing/2014/main" id="{F5CAAFB1-676A-440D-A057-019DC7AEE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164</xdr:row>
      <xdr:rowOff>28575</xdr:rowOff>
    </xdr:from>
    <xdr:to>
      <xdr:col>4</xdr:col>
      <xdr:colOff>190500</xdr:colOff>
      <xdr:row>191</xdr:row>
      <xdr:rowOff>9525</xdr:rowOff>
    </xdr:to>
    <xdr:graphicFrame macro="">
      <xdr:nvGraphicFramePr>
        <xdr:cNvPr id="16389" name="Chart 5">
          <a:extLst>
            <a:ext uri="{FF2B5EF4-FFF2-40B4-BE49-F238E27FC236}">
              <a16:creationId xmlns:a16="http://schemas.microsoft.com/office/drawing/2014/main" id="{FA44BB38-0380-441B-9DA5-E3F2CF888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T418"/>
  <sheetViews>
    <sheetView showGridLines="0" tabSelected="1" topLeftCell="B35" zoomScale="75" workbookViewId="0">
      <selection activeCell="H48" sqref="H48"/>
    </sheetView>
  </sheetViews>
  <sheetFormatPr defaultColWidth="0" defaultRowHeight="12.75"/>
  <cols>
    <col min="1" max="1" width="4.85546875" hidden="1" customWidth="1"/>
    <col min="2" max="2" width="50.7109375" customWidth="1"/>
    <col min="3" max="3" width="10" customWidth="1"/>
    <col min="4" max="4" width="13.140625" bestFit="1" customWidth="1"/>
    <col min="5" max="5" width="11.28515625" customWidth="1"/>
    <col min="6" max="6" width="9.28515625" bestFit="1" customWidth="1"/>
    <col min="7" max="7" width="11.7109375" bestFit="1" customWidth="1"/>
    <col min="8" max="17" width="9.28515625" bestFit="1" customWidth="1"/>
    <col min="18" max="18" width="14.28515625" bestFit="1" customWidth="1"/>
    <col min="19" max="27" width="14.28515625" customWidth="1"/>
    <col min="28" max="28" width="14.28515625" bestFit="1" customWidth="1"/>
    <col min="29" max="39" width="9.140625" customWidth="1"/>
    <col min="40" max="42" width="9" bestFit="1" customWidth="1"/>
    <col min="43" max="43" width="12.28515625" bestFit="1" customWidth="1"/>
    <col min="44" max="44" width="9" bestFit="1" customWidth="1"/>
    <col min="45" max="45" width="10.28515625" bestFit="1" customWidth="1"/>
    <col min="46" max="46" width="9" bestFit="1" customWidth="1"/>
    <col min="47" max="101" width="9.140625" customWidth="1"/>
  </cols>
  <sheetData>
    <row r="1" spans="1:5" s="4" customFormat="1">
      <c r="A1"/>
      <c r="B1" t="s">
        <v>0</v>
      </c>
      <c r="C1"/>
      <c r="D1"/>
      <c r="E1"/>
    </row>
    <row r="2" spans="1:5" s="8" customFormat="1">
      <c r="A2" s="1"/>
      <c r="B2" s="1"/>
      <c r="C2" s="1"/>
      <c r="D2" s="1"/>
      <c r="E2" s="1"/>
    </row>
    <row r="3" spans="1:5" s="8" customFormat="1" ht="13.5" thickBot="1">
      <c r="A3" s="1"/>
      <c r="B3" s="1"/>
      <c r="C3" s="1"/>
      <c r="D3" s="1"/>
      <c r="E3" s="1"/>
    </row>
    <row r="4" spans="1:5" s="8" customFormat="1" ht="13.5" thickBot="1">
      <c r="A4" s="1"/>
      <c r="B4" s="10" t="s">
        <v>1</v>
      </c>
      <c r="C4" s="11">
        <v>589</v>
      </c>
      <c r="D4" s="1"/>
      <c r="E4" s="1"/>
    </row>
    <row r="5" spans="1:5" s="8" customFormat="1" ht="13.5" thickBot="1">
      <c r="A5" s="1"/>
      <c r="B5" s="10" t="s">
        <v>2</v>
      </c>
      <c r="C5" s="11">
        <v>115180</v>
      </c>
      <c r="D5" s="1"/>
      <c r="E5" s="1"/>
    </row>
    <row r="6" spans="1:5" s="8" customFormat="1">
      <c r="A6" s="1"/>
      <c r="B6" s="10" t="s">
        <v>3</v>
      </c>
      <c r="C6" s="11">
        <v>1</v>
      </c>
      <c r="D6" s="1"/>
      <c r="E6" s="1"/>
    </row>
    <row r="7" spans="1:5" s="8" customFormat="1">
      <c r="A7" s="1"/>
      <c r="B7" s="12" t="s">
        <v>4</v>
      </c>
      <c r="C7" s="13">
        <v>26.25</v>
      </c>
      <c r="D7" s="1"/>
      <c r="E7" s="1"/>
    </row>
    <row r="8" spans="1:5" s="8" customFormat="1">
      <c r="A8" s="1"/>
      <c r="B8" s="14" t="s">
        <v>5</v>
      </c>
      <c r="C8" s="15">
        <v>1</v>
      </c>
      <c r="D8" s="1"/>
      <c r="E8" s="1"/>
    </row>
    <row r="9" spans="1:5" s="8" customFormat="1">
      <c r="A9" s="1"/>
      <c r="B9" s="12" t="s">
        <v>6</v>
      </c>
      <c r="C9" s="15">
        <v>25.425000000000001</v>
      </c>
      <c r="D9" s="1"/>
      <c r="E9" s="1"/>
    </row>
    <row r="10" spans="1:5" s="8" customFormat="1">
      <c r="A10" s="1"/>
      <c r="B10" s="14" t="s">
        <v>7</v>
      </c>
      <c r="C10" s="15">
        <v>27856</v>
      </c>
      <c r="D10" s="1"/>
      <c r="E10" s="1"/>
    </row>
    <row r="11" spans="1:5" s="8" customFormat="1">
      <c r="A11" s="1"/>
      <c r="B11" s="14" t="s">
        <v>8</v>
      </c>
      <c r="C11" s="15">
        <v>18220</v>
      </c>
      <c r="D11" s="1"/>
      <c r="E11" s="1"/>
    </row>
    <row r="12" spans="1:5" s="8" customFormat="1">
      <c r="A12" s="1"/>
      <c r="B12" s="14" t="s">
        <v>9</v>
      </c>
      <c r="C12" s="15">
        <v>20500</v>
      </c>
      <c r="D12" s="1"/>
      <c r="E12" s="1"/>
    </row>
    <row r="13" spans="1:5" s="8" customFormat="1">
      <c r="A13" s="1"/>
      <c r="B13" s="14" t="s">
        <v>10</v>
      </c>
      <c r="C13" s="15">
        <v>0.93</v>
      </c>
      <c r="D13" s="1"/>
      <c r="E13" s="1"/>
    </row>
    <row r="14" spans="1:5" s="8" customFormat="1">
      <c r="A14" s="1"/>
      <c r="B14" s="14" t="s">
        <v>11</v>
      </c>
      <c r="C14" s="15">
        <v>0.95</v>
      </c>
      <c r="D14" s="1"/>
      <c r="E14" s="1"/>
    </row>
    <row r="15" spans="1:5" s="8" customFormat="1" ht="13.5" thickBot="1">
      <c r="A15" s="1"/>
      <c r="B15" s="16" t="s">
        <v>12</v>
      </c>
      <c r="C15" s="17">
        <v>0.95</v>
      </c>
      <c r="D15" s="1"/>
      <c r="E15" s="1"/>
    </row>
    <row r="16" spans="1:5" s="8" customFormat="1" ht="13.5" thickBot="1">
      <c r="A16" s="1"/>
      <c r="B16" s="18" t="s">
        <v>13</v>
      </c>
      <c r="C16" s="19">
        <v>0.98</v>
      </c>
      <c r="D16" s="1"/>
      <c r="E16" s="1"/>
    </row>
    <row r="17" spans="1:46" s="8" customFormat="1" ht="13.5" thickBot="1">
      <c r="A17" s="1"/>
      <c r="B17" s="9" t="s">
        <v>14</v>
      </c>
      <c r="C17" s="20">
        <v>0.59499999999999997</v>
      </c>
      <c r="D17" s="1"/>
      <c r="E17" s="1"/>
      <c r="AS17" s="8" t="s">
        <v>15</v>
      </c>
    </row>
    <row r="18" spans="1:46" s="8" customFormat="1" ht="13.5" hidden="1" thickBot="1">
      <c r="A18" s="1"/>
      <c r="B18" s="9" t="s">
        <v>16</v>
      </c>
      <c r="C18" s="20">
        <f>AS19/30</f>
        <v>0.2352937221947603</v>
      </c>
      <c r="D18" s="1"/>
      <c r="E18" s="1"/>
      <c r="AR18" s="8" t="s">
        <v>17</v>
      </c>
    </row>
    <row r="19" spans="1:46" s="8" customFormat="1" ht="13.5" hidden="1" thickBot="1">
      <c r="A19" s="1"/>
      <c r="B19" s="9" t="s">
        <v>18</v>
      </c>
      <c r="C19" s="20">
        <v>0</v>
      </c>
      <c r="D19" s="1"/>
      <c r="E19" s="1">
        <f t="shared" ref="E19:AQ19" si="0">D19+$C18</f>
        <v>0.2352937221947603</v>
      </c>
      <c r="F19" s="8">
        <f t="shared" si="0"/>
        <v>0.4705874443895206</v>
      </c>
      <c r="G19" s="8">
        <f t="shared" si="0"/>
        <v>0.70588116658428091</v>
      </c>
      <c r="H19" s="8">
        <f t="shared" si="0"/>
        <v>0.94117488877904121</v>
      </c>
      <c r="I19" s="8">
        <f t="shared" si="0"/>
        <v>1.1764686109738016</v>
      </c>
      <c r="J19" s="8">
        <f t="shared" si="0"/>
        <v>1.411762333168562</v>
      </c>
      <c r="K19" s="8">
        <f t="shared" si="0"/>
        <v>1.6470560553633224</v>
      </c>
      <c r="L19" s="8">
        <f t="shared" si="0"/>
        <v>1.8823497775580829</v>
      </c>
      <c r="M19" s="8">
        <f t="shared" si="0"/>
        <v>2.1176434997528433</v>
      </c>
      <c r="N19" s="8">
        <f t="shared" si="0"/>
        <v>2.3529372219476037</v>
      </c>
      <c r="O19" s="8">
        <f t="shared" si="0"/>
        <v>2.5882309441423641</v>
      </c>
      <c r="P19" s="8">
        <f t="shared" si="0"/>
        <v>2.8235246663371245</v>
      </c>
      <c r="Q19" s="8">
        <f t="shared" si="0"/>
        <v>3.0588183885318849</v>
      </c>
      <c r="R19" s="8">
        <f>Q19+$C18</f>
        <v>3.2941121107266453</v>
      </c>
      <c r="AB19" s="8">
        <f>R19+$C18</f>
        <v>3.5294058329214058</v>
      </c>
      <c r="AC19" s="8">
        <f t="shared" si="0"/>
        <v>3.7646995551161662</v>
      </c>
      <c r="AD19" s="8">
        <f t="shared" si="0"/>
        <v>3.9999932773109266</v>
      </c>
      <c r="AE19" s="8">
        <f t="shared" si="0"/>
        <v>4.2352869995056865</v>
      </c>
      <c r="AF19" s="8">
        <f t="shared" si="0"/>
        <v>4.470580721700447</v>
      </c>
      <c r="AG19" s="8">
        <f t="shared" si="0"/>
        <v>4.7058744438952074</v>
      </c>
      <c r="AH19" s="8">
        <f t="shared" si="0"/>
        <v>4.9411681660899678</v>
      </c>
      <c r="AI19" s="8">
        <f t="shared" si="0"/>
        <v>5.1764618882847282</v>
      </c>
      <c r="AJ19" s="8">
        <f t="shared" si="0"/>
        <v>5.4117556104794886</v>
      </c>
      <c r="AK19" s="8">
        <f t="shared" si="0"/>
        <v>5.647049332674249</v>
      </c>
      <c r="AL19" s="8">
        <f t="shared" si="0"/>
        <v>5.8823430548690094</v>
      </c>
      <c r="AM19" s="8">
        <f t="shared" si="0"/>
        <v>6.1176367770637698</v>
      </c>
      <c r="AN19" s="8">
        <f t="shared" si="0"/>
        <v>6.3529304992585303</v>
      </c>
      <c r="AP19" s="8">
        <f>AN19+$C18</f>
        <v>6.5882242214532907</v>
      </c>
      <c r="AQ19" s="8">
        <f t="shared" si="0"/>
        <v>6.8235179436480511</v>
      </c>
      <c r="AR19" s="8">
        <f>AT19</f>
        <v>6.0504201680672267</v>
      </c>
      <c r="AS19" s="8">
        <v>7.0588116658428088</v>
      </c>
      <c r="AT19" s="8">
        <f>D43</f>
        <v>6.0504201680672267</v>
      </c>
    </row>
    <row r="20" spans="1:46" s="64" customFormat="1" ht="13.5" thickBot="1">
      <c r="A20" s="63"/>
      <c r="B20" s="6" t="s">
        <v>19</v>
      </c>
      <c r="C20" s="22">
        <v>6</v>
      </c>
      <c r="D20" s="63"/>
      <c r="E20" s="63"/>
    </row>
    <row r="21" spans="1:46" s="64" customFormat="1" ht="13.5" thickBot="1">
      <c r="A21" s="63"/>
      <c r="B21" s="6" t="s">
        <v>20</v>
      </c>
      <c r="C21" s="22">
        <v>4.2</v>
      </c>
      <c r="D21" s="2" t="s">
        <v>21</v>
      </c>
      <c r="E21" s="63"/>
    </row>
    <row r="22" spans="1:46" s="64" customFormat="1" ht="13.5" thickBot="1">
      <c r="A22" s="63"/>
      <c r="B22" s="6" t="s">
        <v>22</v>
      </c>
      <c r="C22" s="22">
        <v>0.5</v>
      </c>
      <c r="D22" s="63"/>
      <c r="E22" s="63"/>
    </row>
    <row r="23" spans="1:46" s="64" customFormat="1" ht="13.5" thickBot="1">
      <c r="A23" s="63"/>
      <c r="B23" s="6" t="s">
        <v>23</v>
      </c>
      <c r="C23" s="22">
        <v>0.4</v>
      </c>
      <c r="D23" s="63"/>
      <c r="E23" s="63"/>
      <c r="AC23" s="64">
        <f>AC24</f>
        <v>0.50909090909090904</v>
      </c>
      <c r="AD23" s="64">
        <f>AC23+AD24</f>
        <v>1.0181818181818181</v>
      </c>
      <c r="AE23" s="64">
        <f>AD23+AE24</f>
        <v>1.5272727272727271</v>
      </c>
      <c r="AF23" s="64">
        <f>AE23+AF24</f>
        <v>2.0363636363636362</v>
      </c>
      <c r="AG23" s="64">
        <f t="shared" ref="AG23:AL23" si="1">AF23+AG24</f>
        <v>2.545454545454545</v>
      </c>
      <c r="AH23" s="64">
        <f t="shared" si="1"/>
        <v>3.0545454545454538</v>
      </c>
      <c r="AI23" s="64">
        <f t="shared" si="1"/>
        <v>3.5636363636363626</v>
      </c>
      <c r="AJ23" s="64">
        <f t="shared" si="1"/>
        <v>4.0727272727272714</v>
      </c>
      <c r="AK23" s="64">
        <f t="shared" si="1"/>
        <v>4.5818181818181802</v>
      </c>
      <c r="AL23" s="64">
        <f t="shared" si="1"/>
        <v>5.0909090909090891</v>
      </c>
      <c r="AM23" s="64">
        <v>5.6</v>
      </c>
    </row>
    <row r="24" spans="1:46" s="24" customFormat="1">
      <c r="B24" s="23"/>
      <c r="C24" s="23">
        <v>0</v>
      </c>
      <c r="D24" s="23">
        <f>$C43/4+C24</f>
        <v>1.7647058823529413</v>
      </c>
      <c r="E24" s="24">
        <f>$C43/4+D24</f>
        <v>3.5294117647058827</v>
      </c>
      <c r="F24" s="24">
        <f>$C43/4+E24</f>
        <v>5.2941176470588243</v>
      </c>
      <c r="G24" s="24">
        <f>$C43/4+F24</f>
        <v>7.0588235294117654</v>
      </c>
      <c r="H24" s="24">
        <f>I24-(I24/5)</f>
        <v>0.64965891872268888</v>
      </c>
      <c r="I24" s="24">
        <f t="shared" ref="I24:O24" si="2">J24-(J24/5)</f>
        <v>0.81207364840336105</v>
      </c>
      <c r="J24" s="24">
        <f t="shared" si="2"/>
        <v>1.0150920605042013</v>
      </c>
      <c r="K24" s="24">
        <f t="shared" si="2"/>
        <v>1.2688650756302517</v>
      </c>
      <c r="L24" s="24">
        <f t="shared" si="2"/>
        <v>1.5860813445378148</v>
      </c>
      <c r="M24" s="24">
        <f t="shared" si="2"/>
        <v>1.9826016806722684</v>
      </c>
      <c r="N24" s="24">
        <f t="shared" si="2"/>
        <v>2.4782521008403355</v>
      </c>
      <c r="O24" s="24">
        <f t="shared" si="2"/>
        <v>3.0978151260504196</v>
      </c>
      <c r="P24" s="24">
        <f>Q24-(Q24/5)</f>
        <v>3.8722689075630248</v>
      </c>
      <c r="Q24" s="24">
        <f>R24-(R24/5)</f>
        <v>4.8403361344537812</v>
      </c>
      <c r="R24" s="24">
        <f>D43</f>
        <v>6.0504201680672267</v>
      </c>
      <c r="S24" s="24">
        <f>S31</f>
        <v>6.4471814503579203</v>
      </c>
      <c r="T24" s="24">
        <f t="shared" ref="T24:Y24" si="3">T29</f>
        <v>6.4471814503579203</v>
      </c>
      <c r="U24" s="24">
        <f t="shared" si="3"/>
        <v>6.4471814503579203</v>
      </c>
      <c r="V24" s="24">
        <f t="shared" si="3"/>
        <v>6.4471814503579203</v>
      </c>
      <c r="W24" s="24">
        <f>W29</f>
        <v>6.4471814503579168</v>
      </c>
      <c r="X24" s="24">
        <f t="shared" si="3"/>
        <v>6.4471814503579168</v>
      </c>
      <c r="Y24" s="24">
        <f t="shared" si="3"/>
        <v>6.4471814503579168</v>
      </c>
      <c r="Z24" s="24">
        <f>Z29</f>
        <v>6.4471814503579168</v>
      </c>
      <c r="AA24" s="24">
        <f>AA29</f>
        <v>6.4471814503579168</v>
      </c>
      <c r="AB24" s="24">
        <f>E43</f>
        <v>83.598478057889807</v>
      </c>
      <c r="AC24" s="24">
        <f>$AM23/11</f>
        <v>0.50909090909090904</v>
      </c>
      <c r="AD24" s="24">
        <f t="shared" ref="AD24:AM24" si="4">$AM23/11</f>
        <v>0.50909090909090904</v>
      </c>
      <c r="AE24" s="24">
        <f t="shared" si="4"/>
        <v>0.50909090909090904</v>
      </c>
      <c r="AF24" s="24">
        <f t="shared" si="4"/>
        <v>0.50909090909090904</v>
      </c>
      <c r="AG24" s="24">
        <f t="shared" si="4"/>
        <v>0.50909090909090904</v>
      </c>
      <c r="AH24" s="24">
        <f t="shared" si="4"/>
        <v>0.50909090909090904</v>
      </c>
      <c r="AI24" s="24">
        <f t="shared" si="4"/>
        <v>0.50909090909090904</v>
      </c>
      <c r="AJ24" s="24">
        <f t="shared" si="4"/>
        <v>0.50909090909090904</v>
      </c>
      <c r="AK24" s="24">
        <f t="shared" si="4"/>
        <v>0.50909090909090904</v>
      </c>
      <c r="AL24" s="24">
        <f t="shared" si="4"/>
        <v>0.50909090909090904</v>
      </c>
      <c r="AM24" s="24">
        <f t="shared" si="4"/>
        <v>0.50909090909090904</v>
      </c>
      <c r="AN24" s="24">
        <v>0</v>
      </c>
      <c r="AO24" s="24">
        <f>G43</f>
        <v>4.9333333333333336</v>
      </c>
      <c r="AP24" s="24">
        <v>0</v>
      </c>
      <c r="AQ24" s="24">
        <f>H43</f>
        <v>4.1749999999999998</v>
      </c>
      <c r="AR24" s="24">
        <v>0</v>
      </c>
      <c r="AS24" s="24">
        <f>I43</f>
        <v>1.25</v>
      </c>
      <c r="AT24" s="24">
        <f>AS24</f>
        <v>1.25</v>
      </c>
    </row>
    <row r="25" spans="1:46" s="24" customFormat="1">
      <c r="C25" s="23"/>
      <c r="H25" s="24">
        <f>H24</f>
        <v>0.64965891872268888</v>
      </c>
      <c r="I25" s="24">
        <f>I24</f>
        <v>0.81207364840336105</v>
      </c>
      <c r="J25" s="24">
        <f t="shared" ref="J25:R25" si="5">J24</f>
        <v>1.0150920605042013</v>
      </c>
      <c r="K25" s="24">
        <f t="shared" si="5"/>
        <v>1.2688650756302517</v>
      </c>
      <c r="L25" s="24">
        <f t="shared" si="5"/>
        <v>1.5860813445378148</v>
      </c>
      <c r="M25" s="24">
        <f t="shared" si="5"/>
        <v>1.9826016806722684</v>
      </c>
      <c r="N25" s="24">
        <f t="shared" si="5"/>
        <v>2.4782521008403355</v>
      </c>
      <c r="O25" s="24">
        <f t="shared" si="5"/>
        <v>3.0978151260504196</v>
      </c>
      <c r="P25" s="24">
        <f t="shared" si="5"/>
        <v>3.8722689075630248</v>
      </c>
      <c r="Q25" s="24">
        <f>Q24</f>
        <v>4.8403361344537812</v>
      </c>
      <c r="R25" s="24">
        <f t="shared" si="5"/>
        <v>6.0504201680672267</v>
      </c>
      <c r="T25" s="24">
        <f>AB28/15</f>
        <v>6.4471814503579195</v>
      </c>
    </row>
    <row r="26" spans="1:46" s="24" customFormat="1">
      <c r="C26" s="23"/>
    </row>
    <row r="27" spans="1:46" s="24" customFormat="1">
      <c r="C27" s="23" t="s">
        <v>24</v>
      </c>
    </row>
    <row r="28" spans="1:46" s="24" customFormat="1">
      <c r="C28" s="23">
        <v>0</v>
      </c>
      <c r="D28" s="24">
        <f>D24</f>
        <v>1.7647058823529413</v>
      </c>
      <c r="E28" s="24">
        <f>E24</f>
        <v>3.5294117647058827</v>
      </c>
      <c r="F28" s="24">
        <f>F24</f>
        <v>5.2941176470588243</v>
      </c>
      <c r="G28" s="24">
        <f>G24</f>
        <v>7.0588235294117654</v>
      </c>
      <c r="H28" s="24">
        <f>$G24+H24</f>
        <v>7.708482448134454</v>
      </c>
      <c r="I28" s="24">
        <f t="shared" ref="I28:R28" si="6">$G24+I24</f>
        <v>7.8708971778151264</v>
      </c>
      <c r="J28" s="24">
        <f t="shared" si="6"/>
        <v>8.0739155899159663</v>
      </c>
      <c r="K28" s="24">
        <f t="shared" si="6"/>
        <v>8.3276886050420167</v>
      </c>
      <c r="L28" s="24">
        <f t="shared" si="6"/>
        <v>8.6449048739495797</v>
      </c>
      <c r="M28" s="24">
        <f t="shared" si="6"/>
        <v>9.041425210084034</v>
      </c>
      <c r="N28" s="24">
        <f t="shared" si="6"/>
        <v>9.5370756302521009</v>
      </c>
      <c r="O28" s="24">
        <f t="shared" si="6"/>
        <v>10.156638655462185</v>
      </c>
      <c r="P28" s="24">
        <f t="shared" si="6"/>
        <v>10.93109243697479</v>
      </c>
      <c r="Q28" s="24">
        <f t="shared" si="6"/>
        <v>11.899159663865547</v>
      </c>
      <c r="R28" s="24">
        <f t="shared" si="6"/>
        <v>13.109243697478991</v>
      </c>
      <c r="S28" s="24">
        <f>R28</f>
        <v>13.109243697478991</v>
      </c>
      <c r="T28" s="24">
        <f>S28+$T25</f>
        <v>19.556425147836912</v>
      </c>
      <c r="U28" s="24">
        <f t="shared" ref="U28:AA28" si="7">T28+$T25</f>
        <v>26.003606598194832</v>
      </c>
      <c r="V28" s="24">
        <f t="shared" si="7"/>
        <v>32.450788048552752</v>
      </c>
      <c r="W28" s="24">
        <f t="shared" si="7"/>
        <v>38.897969498910669</v>
      </c>
      <c r="X28" s="24">
        <f t="shared" si="7"/>
        <v>45.345150949268586</v>
      </c>
      <c r="Y28" s="24">
        <f t="shared" si="7"/>
        <v>51.792332399626503</v>
      </c>
      <c r="Z28" s="24">
        <f t="shared" si="7"/>
        <v>58.239513849984419</v>
      </c>
      <c r="AA28" s="24">
        <f t="shared" si="7"/>
        <v>64.686695300342336</v>
      </c>
      <c r="AB28" s="24">
        <f>$AB24+$R28</f>
        <v>96.707721755368794</v>
      </c>
      <c r="AC28" s="24">
        <f>AB28+AC24</f>
        <v>97.216812664459709</v>
      </c>
      <c r="AD28" s="24">
        <f t="shared" ref="AD28:AL28" si="8">AC28+AD24</f>
        <v>97.725903573550625</v>
      </c>
      <c r="AE28" s="24">
        <f t="shared" si="8"/>
        <v>98.23499448264154</v>
      </c>
      <c r="AF28" s="24">
        <f t="shared" si="8"/>
        <v>98.744085391732455</v>
      </c>
      <c r="AG28" s="24">
        <f t="shared" si="8"/>
        <v>99.25317630082337</v>
      </c>
      <c r="AH28" s="24">
        <f t="shared" si="8"/>
        <v>99.762267209914285</v>
      </c>
      <c r="AI28" s="24">
        <f t="shared" si="8"/>
        <v>100.2713581190052</v>
      </c>
      <c r="AJ28" s="24">
        <f t="shared" si="8"/>
        <v>100.78044902809611</v>
      </c>
      <c r="AK28" s="24">
        <f t="shared" si="8"/>
        <v>101.28953993718703</v>
      </c>
      <c r="AL28" s="24">
        <f t="shared" si="8"/>
        <v>101.79863084627794</v>
      </c>
      <c r="AM28" s="24">
        <f>AL28+AM24</f>
        <v>102.30772175536886</v>
      </c>
      <c r="AN28" s="24">
        <f>$AM28+AN24</f>
        <v>102.30772175536886</v>
      </c>
      <c r="AO28" s="24">
        <f>$AM28+AO24</f>
        <v>107.2410550887022</v>
      </c>
      <c r="AP28" s="24">
        <f>$AO28+AP24</f>
        <v>107.2410550887022</v>
      </c>
      <c r="AQ28" s="24">
        <f>$AO28+AQ24</f>
        <v>111.41605508870219</v>
      </c>
      <c r="AR28" s="24">
        <f>$AQ28+AR24</f>
        <v>111.41605508870219</v>
      </c>
      <c r="AS28" s="24">
        <f>$AQ28+AS24</f>
        <v>112.66605508870219</v>
      </c>
      <c r="AT28" s="24">
        <f>$AQ28+AT24</f>
        <v>112.66605508870219</v>
      </c>
    </row>
    <row r="29" spans="1:46" s="24" customFormat="1">
      <c r="C29" s="23"/>
      <c r="D29" s="24">
        <f t="shared" ref="D29:I29" si="9">D28-C28</f>
        <v>1.7647058823529413</v>
      </c>
      <c r="E29" s="24">
        <f t="shared" si="9"/>
        <v>1.7647058823529413</v>
      </c>
      <c r="F29" s="24">
        <f t="shared" si="9"/>
        <v>1.7647058823529416</v>
      </c>
      <c r="G29" s="24">
        <f t="shared" si="9"/>
        <v>1.7647058823529411</v>
      </c>
      <c r="H29" s="24">
        <f t="shared" si="9"/>
        <v>0.64965891872268866</v>
      </c>
      <c r="I29" s="24">
        <f t="shared" si="9"/>
        <v>0.16241472968067239</v>
      </c>
      <c r="J29" s="24">
        <f t="shared" ref="J29:R29" si="10">J28-I28</f>
        <v>0.20301841210083982</v>
      </c>
      <c r="K29" s="24">
        <f t="shared" si="10"/>
        <v>0.25377301512605044</v>
      </c>
      <c r="L29" s="24">
        <f t="shared" si="10"/>
        <v>0.31721626890756305</v>
      </c>
      <c r="M29" s="24">
        <f t="shared" si="10"/>
        <v>0.39652033613445425</v>
      </c>
      <c r="N29" s="24">
        <f t="shared" si="10"/>
        <v>0.49565042016806693</v>
      </c>
      <c r="O29" s="24">
        <f t="shared" si="10"/>
        <v>0.61956302521008411</v>
      </c>
      <c r="P29" s="24">
        <f t="shared" si="10"/>
        <v>0.77445378151260513</v>
      </c>
      <c r="Q29" s="24">
        <f t="shared" si="10"/>
        <v>0.96806722689075642</v>
      </c>
      <c r="R29" s="24">
        <f t="shared" si="10"/>
        <v>1.2100840336134446</v>
      </c>
      <c r="S29" s="24">
        <f>R29-R29</f>
        <v>0</v>
      </c>
      <c r="T29" s="24">
        <f t="shared" ref="T29:AC29" si="11">T28-S28</f>
        <v>6.4471814503579203</v>
      </c>
      <c r="U29" s="24">
        <f t="shared" si="11"/>
        <v>6.4471814503579203</v>
      </c>
      <c r="V29" s="24">
        <f t="shared" si="11"/>
        <v>6.4471814503579203</v>
      </c>
      <c r="W29" s="24">
        <f t="shared" si="11"/>
        <v>6.4471814503579168</v>
      </c>
      <c r="X29" s="24">
        <f t="shared" si="11"/>
        <v>6.4471814503579168</v>
      </c>
      <c r="Y29" s="24">
        <f t="shared" si="11"/>
        <v>6.4471814503579168</v>
      </c>
      <c r="Z29" s="24">
        <f t="shared" si="11"/>
        <v>6.4471814503579168</v>
      </c>
      <c r="AA29" s="24">
        <f t="shared" si="11"/>
        <v>6.4471814503579168</v>
      </c>
      <c r="AB29" s="24">
        <f t="shared" si="11"/>
        <v>32.021026455026458</v>
      </c>
      <c r="AC29" s="24">
        <f t="shared" si="11"/>
        <v>0.50909090909091503</v>
      </c>
      <c r="AD29" s="24">
        <f t="shared" ref="AD29:AM29" si="12">AD28-AC28</f>
        <v>0.50909090909091503</v>
      </c>
      <c r="AE29" s="24">
        <f t="shared" si="12"/>
        <v>0.50909090909091503</v>
      </c>
      <c r="AF29" s="24">
        <f t="shared" si="12"/>
        <v>0.50909090909091503</v>
      </c>
      <c r="AG29" s="24">
        <f t="shared" si="12"/>
        <v>0.50909090909091503</v>
      </c>
      <c r="AH29" s="24">
        <f t="shared" si="12"/>
        <v>0.50909090909091503</v>
      </c>
      <c r="AI29" s="24">
        <f t="shared" si="12"/>
        <v>0.50909090909091503</v>
      </c>
      <c r="AJ29" s="24">
        <f t="shared" si="12"/>
        <v>0.50909090909091503</v>
      </c>
      <c r="AK29" s="24">
        <f t="shared" si="12"/>
        <v>0.50909090909091503</v>
      </c>
      <c r="AL29" s="24">
        <f t="shared" si="12"/>
        <v>0.50909090909091503</v>
      </c>
      <c r="AM29" s="24">
        <f t="shared" si="12"/>
        <v>0.50909090909091503</v>
      </c>
      <c r="AN29" s="24">
        <f t="shared" ref="AN29:AT29" si="13">AN28-AM28</f>
        <v>0</v>
      </c>
      <c r="AO29" s="24">
        <f t="shared" si="13"/>
        <v>4.9333333333333371</v>
      </c>
      <c r="AP29" s="24">
        <f t="shared" si="13"/>
        <v>0</v>
      </c>
      <c r="AQ29" s="24">
        <f t="shared" si="13"/>
        <v>4.1749999999999972</v>
      </c>
      <c r="AR29" s="24">
        <f t="shared" si="13"/>
        <v>0</v>
      </c>
      <c r="AS29" s="24">
        <f t="shared" si="13"/>
        <v>1.25</v>
      </c>
      <c r="AT29" s="24">
        <f t="shared" si="13"/>
        <v>0</v>
      </c>
    </row>
    <row r="30" spans="1:46" s="29" customFormat="1" ht="18">
      <c r="A30" s="31"/>
      <c r="B30" s="32" t="s">
        <v>25</v>
      </c>
      <c r="C30" s="33"/>
      <c r="D30" s="34"/>
      <c r="S30" s="70">
        <f>AB28/15+R28</f>
        <v>19.556425147836912</v>
      </c>
      <c r="T30" s="70"/>
      <c r="U30" s="70"/>
      <c r="V30" s="70"/>
      <c r="W30" s="70"/>
      <c r="X30" s="70"/>
      <c r="Y30" s="70"/>
      <c r="Z30" s="70"/>
      <c r="AA30" s="70"/>
      <c r="AB30" s="70">
        <f>AB28-AA28</f>
        <v>32.021026455026458</v>
      </c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2"/>
      <c r="AO30" s="72"/>
      <c r="AP30" s="73"/>
      <c r="AQ30" s="73"/>
      <c r="AR30" s="74"/>
      <c r="AS30" s="74"/>
      <c r="AT30" s="74"/>
    </row>
    <row r="31" spans="1:46" s="29" customFormat="1">
      <c r="A31" s="31"/>
      <c r="B31" s="31"/>
      <c r="C31" s="35"/>
      <c r="D31" s="31"/>
      <c r="E31" s="31"/>
      <c r="S31" s="70">
        <f>S30-R28</f>
        <v>6.4471814503579203</v>
      </c>
      <c r="T31" s="70"/>
      <c r="U31" s="70"/>
      <c r="V31" s="70"/>
      <c r="W31" s="70"/>
      <c r="X31" s="70"/>
      <c r="Y31" s="70"/>
      <c r="Z31" s="70"/>
      <c r="AA31" s="70"/>
      <c r="AB31" s="70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2"/>
      <c r="AO31" s="72"/>
      <c r="AP31" s="73"/>
      <c r="AQ31" s="73"/>
      <c r="AR31" s="74"/>
      <c r="AS31" s="74"/>
      <c r="AT31" s="74"/>
    </row>
    <row r="32" spans="1:46" s="29" customFormat="1" ht="13.5" thickBot="1">
      <c r="A32" s="31"/>
      <c r="B32" s="31" t="s">
        <v>26</v>
      </c>
      <c r="C32" s="31"/>
      <c r="D32" s="31"/>
      <c r="E32" s="31"/>
      <c r="S32" s="70">
        <v>0</v>
      </c>
      <c r="T32" s="70">
        <f>E43/9</f>
        <v>9.2887197842099791</v>
      </c>
      <c r="U32" s="70">
        <f>$E43/9+T32</f>
        <v>18.577439568419958</v>
      </c>
      <c r="V32" s="70">
        <f>$E43/9+U32</f>
        <v>27.866159352629936</v>
      </c>
      <c r="W32" s="70">
        <f t="shared" ref="W32:AB32" si="14">$E43/9+V32</f>
        <v>37.154879136839916</v>
      </c>
      <c r="X32" s="70">
        <f t="shared" si="14"/>
        <v>46.443598921049897</v>
      </c>
      <c r="Y32" s="70">
        <f t="shared" si="14"/>
        <v>55.732318705259878</v>
      </c>
      <c r="Z32" s="70">
        <f t="shared" si="14"/>
        <v>65.021038489469859</v>
      </c>
      <c r="AA32" s="70">
        <f t="shared" si="14"/>
        <v>74.309758273679833</v>
      </c>
      <c r="AB32" s="70">
        <f t="shared" si="14"/>
        <v>83.598478057889807</v>
      </c>
      <c r="AC32" s="71">
        <f>0</f>
        <v>0</v>
      </c>
      <c r="AD32" s="71">
        <f>$AM24/10+AC32</f>
        <v>5.0909090909090904E-2</v>
      </c>
      <c r="AE32" s="71">
        <f>$AM24/10+AD32</f>
        <v>0.10181818181818181</v>
      </c>
      <c r="AF32" s="71">
        <f t="shared" ref="AF32:AM32" si="15">$AM24/10+AE32</f>
        <v>0.15272727272727271</v>
      </c>
      <c r="AG32" s="71">
        <f t="shared" si="15"/>
        <v>0.20363636363636362</v>
      </c>
      <c r="AH32" s="71">
        <f t="shared" si="15"/>
        <v>0.25454545454545452</v>
      </c>
      <c r="AI32" s="71">
        <f t="shared" si="15"/>
        <v>0.30545454545454542</v>
      </c>
      <c r="AJ32" s="71">
        <f t="shared" si="15"/>
        <v>0.35636363636363633</v>
      </c>
      <c r="AK32" s="71">
        <f t="shared" si="15"/>
        <v>0.40727272727272723</v>
      </c>
      <c r="AL32" s="71">
        <f t="shared" si="15"/>
        <v>0.45818181818181813</v>
      </c>
      <c r="AM32" s="71">
        <f t="shared" si="15"/>
        <v>0.50909090909090904</v>
      </c>
      <c r="AN32" s="72"/>
      <c r="AO32" s="72"/>
      <c r="AP32" s="73"/>
      <c r="AQ32" s="73"/>
      <c r="AR32" s="74"/>
      <c r="AS32" s="74"/>
      <c r="AT32" s="74"/>
    </row>
    <row r="33" spans="1:44" s="29" customFormat="1" ht="13.5" thickBot="1">
      <c r="A33" s="31"/>
      <c r="B33" s="36" t="s">
        <v>27</v>
      </c>
      <c r="C33" s="36"/>
      <c r="D33" s="37"/>
      <c r="E33" s="38">
        <f>(C21/2)*C43</f>
        <v>14.823529411764708</v>
      </c>
    </row>
    <row r="34" spans="1:44" s="29" customFormat="1" ht="13.5" thickBot="1">
      <c r="A34" s="31"/>
      <c r="B34" s="39" t="s">
        <v>28</v>
      </c>
      <c r="C34" s="36" t="s">
        <v>29</v>
      </c>
      <c r="D34" s="37"/>
      <c r="E34" s="38">
        <f>C21*D43+C17*((D43^2)/3)</f>
        <v>32.672268907563023</v>
      </c>
    </row>
    <row r="35" spans="1:44" s="29" customFormat="1" ht="13.5" thickBot="1">
      <c r="A35" s="31"/>
      <c r="B35" s="36" t="s">
        <v>30</v>
      </c>
      <c r="C35" s="36"/>
      <c r="D35" s="37"/>
      <c r="E35" s="38">
        <f>$C4-E33-E34-E36-E37-2.4</f>
        <v>501.59086834733887</v>
      </c>
    </row>
    <row r="36" spans="1:44" s="29" customFormat="1" ht="13.5" thickBot="1">
      <c r="A36" s="31"/>
      <c r="B36" s="36" t="s">
        <v>31</v>
      </c>
      <c r="C36" s="36"/>
      <c r="D36" s="37"/>
      <c r="E36" s="38">
        <f>C20*F43-0.75*((F43^3)/(6*F43))</f>
        <v>25.919999999999998</v>
      </c>
    </row>
    <row r="37" spans="1:44" s="29" customFormat="1" ht="13.5" thickBot="1">
      <c r="A37" s="31"/>
      <c r="B37" s="36" t="s">
        <v>32</v>
      </c>
      <c r="C37" s="36"/>
      <c r="D37" s="37"/>
      <c r="E37" s="38">
        <f>((C21+C22)/2)*G43</f>
        <v>11.593333333333334</v>
      </c>
    </row>
    <row r="38" spans="1:44" s="29" customFormat="1" ht="13.5" thickBot="1">
      <c r="A38" s="31"/>
      <c r="B38" s="40" t="s">
        <v>33</v>
      </c>
      <c r="C38" s="36"/>
      <c r="D38" s="37"/>
      <c r="E38" s="38">
        <f>(C22*C22)/(2*C23)</f>
        <v>0.3125</v>
      </c>
    </row>
    <row r="39" spans="1:44" s="29" customFormat="1" ht="13.5" thickBot="1">
      <c r="A39" s="31"/>
      <c r="B39" s="41" t="s">
        <v>34</v>
      </c>
      <c r="C39" s="36"/>
      <c r="D39" s="37"/>
      <c r="E39" s="38">
        <f>2.4-E38</f>
        <v>2.0874999999999999</v>
      </c>
    </row>
    <row r="40" spans="1:44" s="29" customFormat="1" ht="13.5" thickBot="1">
      <c r="A40" s="30"/>
      <c r="B40" s="42" t="s">
        <v>35</v>
      </c>
      <c r="C40" s="43"/>
      <c r="D40" s="44"/>
      <c r="E40" s="45">
        <f>SUM(E33:E39)</f>
        <v>588.99999999999989</v>
      </c>
      <c r="F40" s="30"/>
    </row>
    <row r="41" spans="1:44" s="24" customFormat="1" ht="13.5" thickBot="1">
      <c r="A41" s="30"/>
      <c r="B41" s="30"/>
      <c r="C41" s="30"/>
      <c r="D41" s="30"/>
      <c r="E41" s="30"/>
      <c r="F41" s="23"/>
      <c r="G41" s="23"/>
      <c r="H41" s="23"/>
      <c r="I41" s="23"/>
    </row>
    <row r="42" spans="1:44" s="24" customFormat="1" ht="13.5" thickBot="1">
      <c r="A42" s="31"/>
      <c r="B42" s="46" t="s">
        <v>36</v>
      </c>
      <c r="C42" s="47" t="s">
        <v>37</v>
      </c>
      <c r="D42" s="47" t="s">
        <v>38</v>
      </c>
      <c r="E42" s="47" t="s">
        <v>39</v>
      </c>
      <c r="F42" s="25" t="s">
        <v>40</v>
      </c>
      <c r="G42" s="25" t="s">
        <v>41</v>
      </c>
      <c r="H42" s="25" t="s">
        <v>42</v>
      </c>
      <c r="I42" s="25" t="s">
        <v>43</v>
      </c>
    </row>
    <row r="43" spans="1:44" s="24" customFormat="1" ht="13.5" thickBot="1">
      <c r="A43" s="48"/>
      <c r="B43" s="49"/>
      <c r="C43" s="50">
        <f>C21/C17</f>
        <v>7.0588235294117654</v>
      </c>
      <c r="D43" s="50">
        <f>(2*(C20-C21))/C17</f>
        <v>6.0504201680672267</v>
      </c>
      <c r="E43" s="50">
        <f>E35/C20</f>
        <v>83.598478057889807</v>
      </c>
      <c r="F43" s="26">
        <f>2*(C20-C21)/0.75</f>
        <v>4.8</v>
      </c>
      <c r="G43" s="26">
        <f>(C21-C22)/0.75</f>
        <v>4.9333333333333336</v>
      </c>
      <c r="H43" s="26">
        <f>E45</f>
        <v>4.1749999999999998</v>
      </c>
      <c r="I43" s="26">
        <f>C22/C23</f>
        <v>1.25</v>
      </c>
      <c r="J43" s="24">
        <f>SUM(C43:I43)</f>
        <v>111.86605508870213</v>
      </c>
      <c r="AR43" s="66"/>
    </row>
    <row r="44" spans="1:44" s="24" customFormat="1">
      <c r="A44" s="48"/>
      <c r="B44" s="49"/>
      <c r="C44" s="51" t="str">
        <f t="shared" ref="C44:E45" si="16">F42</f>
        <v xml:space="preserve">t6/ = </v>
      </c>
      <c r="D44" s="47" t="str">
        <f t="shared" si="16"/>
        <v>t6//</v>
      </c>
      <c r="E44" s="47" t="str">
        <f t="shared" si="16"/>
        <v>t7</v>
      </c>
      <c r="F44" s="26"/>
      <c r="G44" s="26"/>
      <c r="H44" s="26"/>
      <c r="I44" s="26"/>
      <c r="AR44" s="66"/>
    </row>
    <row r="45" spans="1:44" s="24" customFormat="1" ht="13.5" thickBot="1">
      <c r="A45" s="48"/>
      <c r="B45" s="52"/>
      <c r="C45" s="53">
        <f t="shared" si="16"/>
        <v>4.8</v>
      </c>
      <c r="D45" s="54">
        <f t="shared" si="16"/>
        <v>4.9333333333333336</v>
      </c>
      <c r="E45" s="54">
        <f>E39/C22</f>
        <v>4.1749999999999998</v>
      </c>
      <c r="F45" s="23"/>
      <c r="G45" s="23"/>
      <c r="AR45" s="66"/>
    </row>
    <row r="46" spans="1:44" s="24" customFormat="1">
      <c r="A46" s="48"/>
      <c r="B46" s="52"/>
      <c r="C46" s="55" t="str">
        <f>I42</f>
        <v>t8</v>
      </c>
      <c r="D46" s="55" t="s">
        <v>44</v>
      </c>
      <c r="E46" s="55" t="s">
        <v>44</v>
      </c>
      <c r="F46" s="23"/>
      <c r="G46" s="23"/>
      <c r="AR46" s="66"/>
    </row>
    <row r="47" spans="1:44" s="24" customFormat="1" ht="13.5" thickBot="1">
      <c r="A47" s="48"/>
      <c r="B47" s="56"/>
      <c r="C47" s="54">
        <f>I43</f>
        <v>1.25</v>
      </c>
      <c r="D47" s="54" t="s">
        <v>44</v>
      </c>
      <c r="E47" s="54" t="s">
        <v>44</v>
      </c>
    </row>
    <row r="48" spans="1:44" s="24" customFormat="1" ht="13.5" thickBot="1">
      <c r="A48" s="48"/>
      <c r="B48" s="56" t="s">
        <v>45</v>
      </c>
      <c r="C48" s="57"/>
      <c r="D48" s="58">
        <f>C43+D43+E43+C45+D45+E45+C47</f>
        <v>111.86605508870213</v>
      </c>
      <c r="E48" s="59"/>
    </row>
    <row r="49" spans="1:46" s="24" customFormat="1" ht="32.1" customHeight="1" thickBot="1">
      <c r="A49" s="48"/>
      <c r="B49" s="67" t="s">
        <v>46</v>
      </c>
      <c r="C49" s="60"/>
      <c r="D49" s="61">
        <f>SUM(G60:AT60)</f>
        <v>85076.782814406935</v>
      </c>
      <c r="E49" s="62"/>
      <c r="AI49" s="69"/>
    </row>
    <row r="50" spans="1:46" s="24" customFormat="1" ht="29.65" customHeight="1" thickBot="1">
      <c r="A50" s="48"/>
      <c r="B50" s="68" t="s">
        <v>47</v>
      </c>
      <c r="C50" s="60"/>
      <c r="D50" s="61">
        <f>SUM(61:61)</f>
        <v>101475.11253563767</v>
      </c>
      <c r="E50" s="62"/>
      <c r="AB50" s="24">
        <f>AB56+R56+G56</f>
        <v>549.0866666666667</v>
      </c>
      <c r="AL50" s="24">
        <f>AB50+AM56+AN56</f>
        <v>578.11333333333334</v>
      </c>
    </row>
    <row r="51" spans="1:46" s="69" customFormat="1" ht="14.85" customHeight="1">
      <c r="A51" s="113"/>
      <c r="B51" s="113"/>
      <c r="C51" s="114"/>
      <c r="D51" s="114"/>
      <c r="E51" s="114"/>
    </row>
    <row r="52" spans="1:46" s="69" customFormat="1">
      <c r="A52" s="113"/>
      <c r="B52" s="113"/>
      <c r="C52" s="113" t="s">
        <v>48</v>
      </c>
      <c r="G52" s="69">
        <f>G24</f>
        <v>7.0588235294117654</v>
      </c>
      <c r="H52" s="69" t="s">
        <v>49</v>
      </c>
      <c r="R52" s="69">
        <f>D43</f>
        <v>6.0504201680672267</v>
      </c>
      <c r="S52" s="69" t="s">
        <v>50</v>
      </c>
      <c r="AB52" s="69">
        <f>E43</f>
        <v>83.598478057889807</v>
      </c>
      <c r="AC52" s="69" t="s">
        <v>51</v>
      </c>
      <c r="AM52" s="69">
        <f>C45</f>
        <v>4.8</v>
      </c>
      <c r="AN52" s="69" t="s">
        <v>41</v>
      </c>
      <c r="AO52" s="69">
        <f>D45</f>
        <v>4.9333333333333336</v>
      </c>
      <c r="AP52" s="69" t="s">
        <v>42</v>
      </c>
      <c r="AQ52" s="69">
        <f>E45</f>
        <v>4.1749999999999998</v>
      </c>
      <c r="AR52" s="69" t="s">
        <v>43</v>
      </c>
      <c r="AT52" s="69">
        <f>C47</f>
        <v>1.25</v>
      </c>
    </row>
    <row r="53" spans="1:46" s="69" customFormat="1">
      <c r="A53" s="113"/>
      <c r="B53" s="113"/>
      <c r="C53" s="113"/>
    </row>
    <row r="54" spans="1:46" s="113" customFormat="1">
      <c r="B54" s="113" t="s">
        <v>52</v>
      </c>
      <c r="C54" s="113">
        <f>$C17</f>
        <v>0.59499999999999997</v>
      </c>
      <c r="D54" s="113">
        <f>$C17</f>
        <v>0.59499999999999997</v>
      </c>
      <c r="E54" s="113">
        <f>$C17</f>
        <v>0.59499999999999997</v>
      </c>
      <c r="F54" s="113">
        <f>$C17</f>
        <v>0.59499999999999997</v>
      </c>
      <c r="G54" s="113">
        <f>F54-F54*(C24/$D43)</f>
        <v>0.59499999999999997</v>
      </c>
      <c r="H54" s="113">
        <f>$C17-$C17*(H25/$D43)</f>
        <v>0.53111236147200003</v>
      </c>
      <c r="I54" s="113">
        <f t="shared" ref="I54:P54" si="17">$C17-$C17*(I25/$D43)</f>
        <v>0.51514045184000001</v>
      </c>
      <c r="J54" s="113">
        <f t="shared" si="17"/>
        <v>0.49517556480000002</v>
      </c>
      <c r="K54" s="113">
        <f t="shared" si="17"/>
        <v>0.47021945600000004</v>
      </c>
      <c r="L54" s="113">
        <f t="shared" si="17"/>
        <v>0.43902432000000002</v>
      </c>
      <c r="M54" s="113">
        <f t="shared" si="17"/>
        <v>0.40003040000000001</v>
      </c>
      <c r="N54" s="113">
        <f t="shared" si="17"/>
        <v>0.35128800000000004</v>
      </c>
      <c r="O54" s="113">
        <f t="shared" si="17"/>
        <v>0.29036000000000006</v>
      </c>
      <c r="P54" s="113">
        <f t="shared" si="17"/>
        <v>0.21420000000000006</v>
      </c>
      <c r="Q54" s="113">
        <f>$C17-$C17*(Q25/$D43)</f>
        <v>0.11900000000000005</v>
      </c>
      <c r="R54" s="113">
        <f>C64</f>
        <v>9.9999999991773336E-7</v>
      </c>
      <c r="S54" s="113">
        <v>0</v>
      </c>
      <c r="T54" s="113">
        <v>0</v>
      </c>
      <c r="U54" s="113">
        <v>0</v>
      </c>
      <c r="V54" s="113">
        <v>0</v>
      </c>
      <c r="W54" s="113">
        <v>0</v>
      </c>
      <c r="X54" s="113">
        <v>0</v>
      </c>
      <c r="Y54" s="113">
        <v>0</v>
      </c>
      <c r="Z54" s="113">
        <v>0</v>
      </c>
      <c r="AA54" s="113">
        <v>0</v>
      </c>
      <c r="AB54" s="113">
        <f>R54</f>
        <v>9.9999999991773336E-7</v>
      </c>
      <c r="AC54" s="113">
        <f>-0.75*(AC23/$F43)</f>
        <v>-7.954545454545453E-2</v>
      </c>
      <c r="AD54" s="113">
        <f t="shared" ref="AD54:AM54" si="18">-0.75*(AD23/$F43)</f>
        <v>-0.15909090909090906</v>
      </c>
      <c r="AE54" s="113">
        <f t="shared" si="18"/>
        <v>-0.23863636363636365</v>
      </c>
      <c r="AF54" s="113">
        <f t="shared" si="18"/>
        <v>-0.31818181818181812</v>
      </c>
      <c r="AG54" s="113">
        <f t="shared" si="18"/>
        <v>-0.39772727272727271</v>
      </c>
      <c r="AH54" s="113">
        <f t="shared" si="18"/>
        <v>-0.47727272727272718</v>
      </c>
      <c r="AI54" s="113">
        <f t="shared" si="18"/>
        <v>-0.55681818181818166</v>
      </c>
      <c r="AJ54" s="113">
        <f t="shared" si="18"/>
        <v>-0.63636363636363624</v>
      </c>
      <c r="AK54" s="113">
        <f t="shared" si="18"/>
        <v>-0.71590909090909072</v>
      </c>
      <c r="AL54" s="113">
        <f t="shared" si="18"/>
        <v>-0.79545454545454519</v>
      </c>
      <c r="AM54" s="113">
        <f t="shared" si="18"/>
        <v>-0.875</v>
      </c>
      <c r="AN54" s="113">
        <f>AM54</f>
        <v>-0.875</v>
      </c>
      <c r="AO54" s="113">
        <f>AN54</f>
        <v>-0.875</v>
      </c>
      <c r="AP54" s="113">
        <f>0</f>
        <v>0</v>
      </c>
      <c r="AQ54" s="113">
        <f>0</f>
        <v>0</v>
      </c>
      <c r="AR54" s="113">
        <f>-C23</f>
        <v>-0.4</v>
      </c>
      <c r="AS54" s="113">
        <f>AR54</f>
        <v>-0.4</v>
      </c>
      <c r="AT54" s="113">
        <f>AS54</f>
        <v>-0.4</v>
      </c>
    </row>
    <row r="55" spans="1:46" s="114" customFormat="1" ht="12.95" customHeight="1">
      <c r="B55" s="114" t="s">
        <v>53</v>
      </c>
      <c r="C55" s="114">
        <f>C24*$C17</f>
        <v>0</v>
      </c>
      <c r="D55" s="114">
        <f>D24*$C17</f>
        <v>1.05</v>
      </c>
      <c r="E55" s="114">
        <f>E24*$C17</f>
        <v>2.1</v>
      </c>
      <c r="F55" s="114">
        <f>F24*$C17</f>
        <v>3.1500000000000004</v>
      </c>
      <c r="G55" s="114">
        <f>G24*$C17</f>
        <v>4.2</v>
      </c>
      <c r="H55" s="114">
        <f>$C21+$C17*H25-$C17*((H25^2)/(2*$D43))</f>
        <v>4.5657944695570762</v>
      </c>
      <c r="I55" s="114">
        <f>$C21+$C17*I25-$C17*((I25^2)/(2*$D43))</f>
        <v>4.6507579034829325</v>
      </c>
      <c r="J55" s="114">
        <f t="shared" ref="J55:P55" si="19">$C21+$C17*J25-$C17*((J25^2)/(2*$D43))</f>
        <v>4.7533142801920825</v>
      </c>
      <c r="K55" s="114">
        <f t="shared" si="19"/>
        <v>4.8758098828001284</v>
      </c>
      <c r="L55" s="114">
        <f t="shared" si="19"/>
        <v>5.0200233418752003</v>
      </c>
      <c r="M55" s="114">
        <f>$C21+$C17*M25-$C17*((M25^2)/(2*$D43))</f>
        <v>5.1863744716799998</v>
      </c>
      <c r="N55" s="114">
        <f t="shared" si="19"/>
        <v>5.372570112</v>
      </c>
      <c r="O55" s="114">
        <f t="shared" si="19"/>
        <v>5.5713407999999998</v>
      </c>
      <c r="P55" s="114">
        <f t="shared" si="19"/>
        <v>5.7667199999999994</v>
      </c>
      <c r="Q55" s="114">
        <f>$C21+$C17*Q25-$C17*((Q25^2)/(2*$D43))</f>
        <v>5.9279999999999999</v>
      </c>
      <c r="R55" s="114">
        <f>$C21+$C17*R25-$C17*((R25^2)/(2*$D43))</f>
        <v>6</v>
      </c>
      <c r="S55" s="114">
        <f>R55</f>
        <v>6</v>
      </c>
      <c r="T55" s="114">
        <f t="shared" ref="T55:AA55" si="20">S55</f>
        <v>6</v>
      </c>
      <c r="U55" s="114">
        <f t="shared" si="20"/>
        <v>6</v>
      </c>
      <c r="V55" s="114">
        <f t="shared" si="20"/>
        <v>6</v>
      </c>
      <c r="W55" s="114">
        <f t="shared" si="20"/>
        <v>6</v>
      </c>
      <c r="X55" s="114">
        <f t="shared" si="20"/>
        <v>6</v>
      </c>
      <c r="Y55" s="114">
        <f t="shared" si="20"/>
        <v>6</v>
      </c>
      <c r="Z55" s="114">
        <f t="shared" si="20"/>
        <v>6</v>
      </c>
      <c r="AA55" s="114">
        <f t="shared" si="20"/>
        <v>6</v>
      </c>
      <c r="AB55" s="114">
        <f>AA55</f>
        <v>6</v>
      </c>
      <c r="AC55" s="114">
        <f>$C20-0.75*((AC23^2)/(2*$F43))</f>
        <v>5.9797520661157026</v>
      </c>
      <c r="AD55" s="114">
        <f t="shared" ref="AD55:AM55" si="21">$C20-0.75*((AD23^2)/(2*$F43))</f>
        <v>5.9190082644628097</v>
      </c>
      <c r="AE55" s="114">
        <f>$C20-0.75*((AE23^2)/(2*$F43))</f>
        <v>5.817768595041322</v>
      </c>
      <c r="AF55" s="114">
        <f t="shared" si="21"/>
        <v>5.6760330578512397</v>
      </c>
      <c r="AG55" s="114">
        <f t="shared" si="21"/>
        <v>5.4938016528925626</v>
      </c>
      <c r="AH55" s="114">
        <f t="shared" si="21"/>
        <v>5.27107438016529</v>
      </c>
      <c r="AI55" s="114">
        <f t="shared" si="21"/>
        <v>5.0078512396694217</v>
      </c>
      <c r="AJ55" s="114">
        <f t="shared" si="21"/>
        <v>4.7041322314049596</v>
      </c>
      <c r="AK55" s="114">
        <f t="shared" si="21"/>
        <v>4.3599173553719019</v>
      </c>
      <c r="AL55" s="114">
        <f t="shared" si="21"/>
        <v>3.9752066115702496</v>
      </c>
      <c r="AM55" s="114">
        <f t="shared" si="21"/>
        <v>3.5500000000000003</v>
      </c>
      <c r="AN55" s="114">
        <f>AM55</f>
        <v>3.5500000000000003</v>
      </c>
      <c r="AO55" s="114">
        <f>$C22</f>
        <v>0.5</v>
      </c>
      <c r="AP55" s="114">
        <f>AO55</f>
        <v>0.5</v>
      </c>
      <c r="AQ55" s="114">
        <f>AP55</f>
        <v>0.5</v>
      </c>
      <c r="AR55" s="114">
        <f>AQ55</f>
        <v>0.5</v>
      </c>
      <c r="AS55" s="114">
        <v>0</v>
      </c>
      <c r="AT55" s="114">
        <v>0</v>
      </c>
    </row>
    <row r="56" spans="1:46" s="113" customFormat="1">
      <c r="B56" s="113" t="s">
        <v>54</v>
      </c>
      <c r="C56" s="113">
        <f>(C55/2)*C24</f>
        <v>0</v>
      </c>
      <c r="D56" s="113">
        <f>(D55/2)*D24</f>
        <v>0.92647058823529427</v>
      </c>
      <c r="E56" s="113">
        <f>(E55/2)*E24</f>
        <v>3.7058823529411771</v>
      </c>
      <c r="F56" s="113">
        <f>(F55/2)*F24</f>
        <v>8.3382352941176485</v>
      </c>
      <c r="G56" s="113">
        <f>(G55/2)*G24</f>
        <v>14.823529411764708</v>
      </c>
      <c r="H56" s="113">
        <f>$C21*H29+$C17*((H25^2)/2)-$C17*((H25^3)/(6*$D43))</f>
        <v>2.8496352956330524</v>
      </c>
      <c r="I56" s="113">
        <f t="shared" ref="I56:P56" si="22">$C21*I25+$C17*((I25^2)/2)-$C17*((I25^3)/(6*$D43))</f>
        <v>3.59812233640455</v>
      </c>
      <c r="J56" s="113">
        <f t="shared" si="22"/>
        <v>4.5527908109336233</v>
      </c>
      <c r="K56" s="113">
        <f t="shared" si="22"/>
        <v>5.7747306795292976</v>
      </c>
      <c r="L56" s="113">
        <f t="shared" si="22"/>
        <v>7.3445519133929373</v>
      </c>
      <c r="M56" s="113">
        <f t="shared" si="22"/>
        <v>9.368584971832135</v>
      </c>
      <c r="N56" s="113">
        <f t="shared" si="22"/>
        <v>11.98635550764746</v>
      </c>
      <c r="O56" s="113">
        <f t="shared" si="22"/>
        <v>15.378525760537812</v>
      </c>
      <c r="P56" s="113">
        <f t="shared" si="22"/>
        <v>19.772734386554621</v>
      </c>
      <c r="Q56" s="113">
        <f>$C21*Q25+$C17*((Q25^2)/2)-$C17*((Q25^3)/(6*$D43))</f>
        <v>25.440806722689075</v>
      </c>
      <c r="R56" s="113">
        <f>$C21*R25+$C17*((R25^2)/2)-$C17*((R25^3)/(6*$D43))</f>
        <v>32.672268907563023</v>
      </c>
      <c r="S56" s="113">
        <f>S55*S32</f>
        <v>0</v>
      </c>
      <c r="T56" s="113">
        <f t="shared" ref="T56:AB56" si="23">T55*T32</f>
        <v>55.732318705259871</v>
      </c>
      <c r="U56" s="113">
        <f t="shared" si="23"/>
        <v>111.46463741051974</v>
      </c>
      <c r="V56" s="113">
        <f t="shared" si="23"/>
        <v>167.19695611577961</v>
      </c>
      <c r="W56" s="113">
        <f t="shared" si="23"/>
        <v>222.92927482103948</v>
      </c>
      <c r="X56" s="113">
        <f t="shared" si="23"/>
        <v>278.66159352629938</v>
      </c>
      <c r="Y56" s="113">
        <f t="shared" si="23"/>
        <v>334.39391223155928</v>
      </c>
      <c r="Z56" s="113">
        <f t="shared" si="23"/>
        <v>390.12623093681918</v>
      </c>
      <c r="AA56" s="113">
        <f t="shared" si="23"/>
        <v>445.85854964207897</v>
      </c>
      <c r="AB56" s="113">
        <f t="shared" si="23"/>
        <v>501.59086834733887</v>
      </c>
      <c r="AC56" s="113">
        <f>$C20*AC23-0.75*((AC23^3)/(6*$F43))</f>
        <v>3.0511094415226645</v>
      </c>
      <c r="AD56" s="113">
        <f t="shared" ref="AD56:AL56" si="24">$C20*AD23-0.75*((AD23^3)/(6*$F43))</f>
        <v>6.0816028049085897</v>
      </c>
      <c r="AE56" s="113">
        <f t="shared" si="24"/>
        <v>9.0708640120210351</v>
      </c>
      <c r="AF56" s="113">
        <f t="shared" si="24"/>
        <v>11.998276984723265</v>
      </c>
      <c r="AG56" s="113">
        <f t="shared" si="24"/>
        <v>14.843225644878535</v>
      </c>
      <c r="AH56" s="113">
        <f t="shared" si="24"/>
        <v>17.585093914350107</v>
      </c>
      <c r="AI56" s="113">
        <f t="shared" si="24"/>
        <v>20.203265715001248</v>
      </c>
      <c r="AJ56" s="113">
        <f t="shared" si="24"/>
        <v>22.67712496869521</v>
      </c>
      <c r="AK56" s="113">
        <f t="shared" si="24"/>
        <v>24.986055597295259</v>
      </c>
      <c r="AL56" s="113">
        <f t="shared" si="24"/>
        <v>27.109441522664653</v>
      </c>
      <c r="AM56" s="113">
        <f>$C20*AM23-0.75*((AM23^3)/(6*$F43))</f>
        <v>29.026666666666664</v>
      </c>
      <c r="AN56" s="113">
        <f>0</f>
        <v>0</v>
      </c>
      <c r="AO56" s="113">
        <f>(($C21+$C22)/2)*$D45</f>
        <v>11.593333333333334</v>
      </c>
      <c r="AP56" s="113">
        <f>0</f>
        <v>0</v>
      </c>
      <c r="AQ56" s="113">
        <f>$E39</f>
        <v>2.0874999999999999</v>
      </c>
      <c r="AR56" s="113">
        <f>0</f>
        <v>0</v>
      </c>
      <c r="AS56" s="113">
        <f>$E38</f>
        <v>0.3125</v>
      </c>
      <c r="AT56" s="113">
        <f>$E38</f>
        <v>0.3125</v>
      </c>
    </row>
    <row r="57" spans="1:46" s="113" customFormat="1">
      <c r="B57" s="113" t="s">
        <v>55</v>
      </c>
      <c r="C57" s="113">
        <f>9.81*((1.15)*$C12+$C11-$C10+($C6*$C7-$C8*$C9)*($C4-2*(C56)))+$C5*C54</f>
        <v>210040.61424999998</v>
      </c>
      <c r="D57" s="113">
        <f>9.81*((1.15)*$C12+$C11-$C10+($C6*$C7-$C8*$C9)*($C4-2*(D56)))+$C5*D54</f>
        <v>210025.61793382349</v>
      </c>
      <c r="E57" s="113">
        <f>9.81*((1.15)*$C12+$C11-$C10+($C6*$C7-$C8*$C9)*($C4-2*(E56)))+$C5*E54</f>
        <v>209980.62898529414</v>
      </c>
      <c r="F57" s="113">
        <f>9.81*((1.15)*$C12+$C11-$C10+($C6*$C7-$C8*$C9)*($C4-2*(F56)))+$C5*F54</f>
        <v>209905.64740441175</v>
      </c>
      <c r="G57" s="113">
        <f>9.81*((1.15)*$C12+$C11-$C10+($C6*$C7-$C8*$C9)*($C4-2*(G56)))+$C5*G54</f>
        <v>209800.67319117644</v>
      </c>
      <c r="H57" s="113">
        <f>9.81*((1.15)*$C12+$C11-$C10+($C6*$C7-$C8*$C9)*($C4-2*(H56+$G56)))+$C5*H54</f>
        <v>202395.96936380866</v>
      </c>
      <c r="I57" s="113">
        <f t="shared" ref="I57:R57" si="25">9.81*((1.15)*$C12+$C11-$C10+($C6*$C7-$C8*$C9)*($C4-2*(I56+$G56)))+$C5*I54</f>
        <v>200544.20942690945</v>
      </c>
      <c r="J57" s="113">
        <f t="shared" si="25"/>
        <v>198229.20099637931</v>
      </c>
      <c r="K57" s="113">
        <f t="shared" si="25"/>
        <v>195334.97745511227</v>
      </c>
      <c r="L57" s="113">
        <f t="shared" si="25"/>
        <v>191716.51177923035</v>
      </c>
      <c r="M57" s="113">
        <f t="shared" si="25"/>
        <v>187192.43006252992</v>
      </c>
      <c r="N57" s="113">
        <f t="shared" si="25"/>
        <v>181535.90788775194</v>
      </c>
      <c r="O57" s="113">
        <f t="shared" si="25"/>
        <v>174463.31348395353</v>
      </c>
      <c r="P57" s="113">
        <f t="shared" si="25"/>
        <v>165620.07782602852</v>
      </c>
      <c r="Q57" s="113">
        <f t="shared" si="25"/>
        <v>154563.1955731597</v>
      </c>
      <c r="R57" s="113">
        <f t="shared" si="25"/>
        <v>140739.8386905042</v>
      </c>
      <c r="S57" s="113">
        <f>9.81*((1.15)*$C12+$C11-$C10+($C6*$C7-$C8*$C9)*($C4-2*(S56+$G56+$R56)))+$C5*S54</f>
        <v>140739.72351050421</v>
      </c>
      <c r="T57" s="113">
        <f>9.81*((1.15)*$C12+$C11-$C10+($C6*$C7-$C8*$C9)*($C4-2*(T56+$G56+$R56)))+$C5*T54</f>
        <v>139837.61233378152</v>
      </c>
      <c r="U57" s="113">
        <f t="shared" ref="U57:AB57" si="26">9.81*((1.15)*$C12+$C11-$C10+($C6*$C7-$C8*$C9)*($C4-2*(U56+$G56+$R56)))+$C5*U54</f>
        <v>138935.50115705884</v>
      </c>
      <c r="V57" s="113">
        <f t="shared" si="26"/>
        <v>138033.38998033616</v>
      </c>
      <c r="W57" s="113">
        <f t="shared" si="26"/>
        <v>137131.27880361344</v>
      </c>
      <c r="X57" s="113">
        <f t="shared" si="26"/>
        <v>136229.16762689076</v>
      </c>
      <c r="Y57" s="113">
        <f t="shared" si="26"/>
        <v>135327.05645016808</v>
      </c>
      <c r="Z57" s="113">
        <f t="shared" si="26"/>
        <v>134424.9452734454</v>
      </c>
      <c r="AA57" s="113">
        <f t="shared" si="26"/>
        <v>133522.83409672271</v>
      </c>
      <c r="AB57" s="113">
        <f t="shared" si="26"/>
        <v>132620.83809999999</v>
      </c>
      <c r="AC57" s="113">
        <f t="shared" ref="AC57:AL57" si="27">9.81*((1.15)*$C12+$C11-$C10+($C6*$C7-$C8*$C9)*($C4-2*($AB56+$R56+$G56+AC56)))+$C5*AC54</f>
        <v>123409.29068247935</v>
      </c>
      <c r="AD57" s="113">
        <f t="shared" si="27"/>
        <v>114198.19214710745</v>
      </c>
      <c r="AE57" s="113">
        <f t="shared" si="27"/>
        <v>104987.76101603305</v>
      </c>
      <c r="AF57" s="113">
        <f t="shared" si="27"/>
        <v>95778.33099140499</v>
      </c>
      <c r="AG57" s="113">
        <f t="shared" si="27"/>
        <v>86570.235775371926</v>
      </c>
      <c r="AH57" s="113">
        <f t="shared" si="27"/>
        <v>77363.809070082672</v>
      </c>
      <c r="AI57" s="113">
        <f t="shared" si="27"/>
        <v>68159.384577685982</v>
      </c>
      <c r="AJ57" s="113">
        <f t="shared" si="27"/>
        <v>58957.296000330622</v>
      </c>
      <c r="AK57" s="113">
        <f t="shared" si="27"/>
        <v>49757.877040165316</v>
      </c>
      <c r="AL57" s="113">
        <f t="shared" si="27"/>
        <v>40561.461399338892</v>
      </c>
      <c r="AM57" s="113">
        <f>9.81*((1.15)*$C12+$C11-$C10+($C6*$C7-$C8*$C9)*($C4-2*($AB56+$R56+$G56+AM56)))+$C5*AM54</f>
        <v>31368.382780000014</v>
      </c>
      <c r="AN57" s="113">
        <f>9.81*((1.15)*$C12+$C11-$C10+($C6*$C7-$C8*$C9)*($C4-2*(AL50)))+$C5*AN54</f>
        <v>31368.382780000014</v>
      </c>
      <c r="AO57" s="113">
        <f>9.81*((1.15)*$C12+$C11-$C10+($C6*$C7-$C8*$C9)*($C4-2*(AM50)))+$C5*AO54</f>
        <v>40726.014250000007</v>
      </c>
      <c r="AP57" s="113">
        <f>9.81*((1.15-0.5*(AP56/2.4))*$C12-0.5*(0.5*(1-AP56/2.4))*$C11+$C11-$C10+($C6*$C7-$C8*$C9)*($C4-2*($AL50+$AP56+$AO56)))+$C5*AP54</f>
        <v>87278.677290000007</v>
      </c>
      <c r="AQ57" s="113">
        <f>9.81*((1.15-0.5*(AQ56/2.4))*$C12-0.5*(0.5*(1-AQ56/2.4))*$C11+$C11-$C10+($C6*$C7-$C8*$C9)*($C4-2*($AL50+$AP56+$AO56)))+$C5*AQ54</f>
        <v>38685.199946249995</v>
      </c>
      <c r="AR57" s="113">
        <f>9.81*((1.15-0.5*(AR56/2.4))*$C12-0.5*(0.5*(1-AR56/2.4))*$C11+$C11-$C10+($C6*$C7-$C8*$C9)*($C4-2*($AL50+$AP56+$AO56)))+$C5*AR54</f>
        <v>41206.677290000007</v>
      </c>
      <c r="AS57" s="113">
        <f>9.81*((1.15-0.5*(AS56/2.4))*$C12-0.5*(0.5*(1-AS56/2.4))*$C11+$C11-$C10+($C6*$C7-$C8*$C9)*($C4-2*($AL50+$AP56+$AO56)))+$C5*AS54</f>
        <v>33932.20463374992</v>
      </c>
      <c r="AT57" s="113">
        <f>9.81*((1.15-0.5*(AT56/2.4))*$C12-0.5*(0.5*(1-AT56/2.4))*$C11+$C11-$C10+($C6*$C7-$C8*$C9)*($C4-2*($AL50+$AP56+$AO56)))+$C5*AT54</f>
        <v>33932.20463374992</v>
      </c>
    </row>
    <row r="58" spans="1:46" s="113" customFormat="1">
      <c r="B58" s="113" t="s">
        <v>56</v>
      </c>
      <c r="C58" s="113">
        <f t="shared" ref="C58:AR58" si="28">(C57*C55)/1000</f>
        <v>0</v>
      </c>
      <c r="D58" s="113">
        <f>(D57*D55)/1000</f>
        <v>220.52689883051468</v>
      </c>
      <c r="E58" s="113">
        <f t="shared" si="28"/>
        <v>440.95932086911773</v>
      </c>
      <c r="F58" s="113">
        <f t="shared" si="28"/>
        <v>661.20278932389715</v>
      </c>
      <c r="G58" s="113">
        <f t="shared" si="28"/>
        <v>881.16282740294105</v>
      </c>
      <c r="H58" s="113">
        <f t="shared" si="28"/>
        <v>924.09839758192106</v>
      </c>
      <c r="I58" s="113">
        <f t="shared" si="28"/>
        <v>932.68256698993559</v>
      </c>
      <c r="J58" s="113">
        <f t="shared" si="28"/>
        <v>942.24569184715642</v>
      </c>
      <c r="K58" s="113">
        <f t="shared" si="28"/>
        <v>952.4162135321767</v>
      </c>
      <c r="L58" s="113">
        <f t="shared" si="28"/>
        <v>962.42136415462812</v>
      </c>
      <c r="M58" s="113">
        <f t="shared" si="28"/>
        <v>970.85004056804894</v>
      </c>
      <c r="N58" s="113">
        <f t="shared" si="28"/>
        <v>975.31439297252109</v>
      </c>
      <c r="O58" s="113">
        <f t="shared" si="28"/>
        <v>971.99457651634032</v>
      </c>
      <c r="P58" s="113">
        <f t="shared" si="28"/>
        <v>955.08461520091498</v>
      </c>
      <c r="Q58" s="113">
        <f t="shared" si="28"/>
        <v>916.25062335769064</v>
      </c>
      <c r="R58" s="113">
        <f t="shared" si="28"/>
        <v>844.4390321430252</v>
      </c>
      <c r="S58" s="113">
        <f>(S57*S55)/1000</f>
        <v>844.43834106302518</v>
      </c>
      <c r="T58" s="113">
        <f t="shared" si="28"/>
        <v>839.02567400268913</v>
      </c>
      <c r="U58" s="113">
        <f t="shared" si="28"/>
        <v>833.61300694235297</v>
      </c>
      <c r="V58" s="113">
        <f t="shared" si="28"/>
        <v>828.20033988201692</v>
      </c>
      <c r="W58" s="113">
        <f t="shared" si="28"/>
        <v>822.78767282168064</v>
      </c>
      <c r="X58" s="113">
        <f t="shared" si="28"/>
        <v>817.3750057613446</v>
      </c>
      <c r="Y58" s="113">
        <f t="shared" si="28"/>
        <v>811.96233870100843</v>
      </c>
      <c r="Z58" s="113">
        <f t="shared" si="28"/>
        <v>806.54967164067239</v>
      </c>
      <c r="AA58" s="113">
        <f t="shared" si="28"/>
        <v>801.13700458033622</v>
      </c>
      <c r="AB58" s="113">
        <f t="shared" si="28"/>
        <v>795.72502859999997</v>
      </c>
      <c r="AC58" s="113">
        <f t="shared" si="28"/>
        <v>737.95696093642925</v>
      </c>
      <c r="AD58" s="113">
        <f>(AD57*AD55)/1000</f>
        <v>675.94004310544096</v>
      </c>
      <c r="AE58" s="113">
        <f>(AE57*AE55)/1000</f>
        <v>610.79449890278067</v>
      </c>
      <c r="AF58" s="113">
        <f>(AF57*AF55)/1000</f>
        <v>543.64097293303269</v>
      </c>
      <c r="AG58" s="113">
        <f>(AG57*AG55)/1000</f>
        <v>475.59970439403713</v>
      </c>
      <c r="AH58" s="113">
        <f>(AH57*AH55)/1000</f>
        <v>407.7903919413119</v>
      </c>
      <c r="AI58" s="113">
        <f t="shared" si="28"/>
        <v>341.33205855246962</v>
      </c>
      <c r="AJ58" s="113">
        <f t="shared" si="28"/>
        <v>277.34291639163797</v>
      </c>
      <c r="AK58" s="113">
        <f t="shared" si="28"/>
        <v>216.94023167387786</v>
      </c>
      <c r="AL58" s="113">
        <f>(AL57*AL55)/1000</f>
        <v>161.24018952960344</v>
      </c>
      <c r="AM58" s="113">
        <f t="shared" si="28"/>
        <v>111.35775886900005</v>
      </c>
      <c r="AN58" s="113">
        <f t="shared" si="28"/>
        <v>111.35775886900005</v>
      </c>
      <c r="AO58" s="113">
        <f>(AO57*AO55)/1000</f>
        <v>20.363007125000003</v>
      </c>
      <c r="AP58" s="113">
        <f t="shared" si="28"/>
        <v>43.639338645000002</v>
      </c>
      <c r="AQ58" s="113">
        <f t="shared" si="28"/>
        <v>19.342599973124997</v>
      </c>
      <c r="AR58" s="113">
        <f t="shared" si="28"/>
        <v>20.603338645000004</v>
      </c>
      <c r="AS58" s="113">
        <f>(AS57*AS55)/1000</f>
        <v>0</v>
      </c>
      <c r="AT58" s="113">
        <f>(AT57*AT55)/1000</f>
        <v>0</v>
      </c>
    </row>
    <row r="59" spans="1:46" s="113" customFormat="1">
      <c r="B59" s="113" t="s">
        <v>57</v>
      </c>
      <c r="C59" s="113">
        <f>(C57*C55)/(1000*$C14*$C15*$C16*$C13)</f>
        <v>0</v>
      </c>
      <c r="D59" s="113">
        <f>(D57*D55)/(1000*$C14*$C15*$C16*$C13)</f>
        <v>268.10526052034606</v>
      </c>
      <c r="E59" s="113">
        <f>(E57*E55)/(1000*$C14*$C15*$C16*$C13)</f>
        <v>536.09566101661835</v>
      </c>
      <c r="F59" s="113">
        <f>(F57*F55)/(1000*$C14*$C15*$C16*$C13)</f>
        <v>803.85634146474251</v>
      </c>
      <c r="G59" s="113">
        <f>(G57*G55)/(1000*$C14*$C15*$C16*$C13)</f>
        <v>1071.2724418406447</v>
      </c>
      <c r="H59" s="113">
        <f t="shared" ref="H59:AT59" si="29">(H57*H55)/(1000*$C14*$C15*$C16*$C13)</f>
        <v>1123.4712996193139</v>
      </c>
      <c r="I59" s="113">
        <f t="shared" si="29"/>
        <v>1133.9074912480517</v>
      </c>
      <c r="J59" s="113">
        <f t="shared" si="29"/>
        <v>1145.5338465581324</v>
      </c>
      <c r="K59" s="113">
        <f t="shared" si="29"/>
        <v>1157.8986436892337</v>
      </c>
      <c r="L59" s="113">
        <f t="shared" si="29"/>
        <v>1170.0623911885318</v>
      </c>
      <c r="M59" s="113">
        <f t="shared" si="29"/>
        <v>1180.3095424324199</v>
      </c>
      <c r="N59" s="113">
        <f t="shared" si="29"/>
        <v>1185.7370724562086</v>
      </c>
      <c r="O59" s="113">
        <f t="shared" si="29"/>
        <v>1181.7010103677096</v>
      </c>
      <c r="P59" s="113">
        <f t="shared" si="29"/>
        <v>1161.1427491854972</v>
      </c>
      <c r="Q59" s="113">
        <f t="shared" si="29"/>
        <v>1113.9303793776105</v>
      </c>
      <c r="R59" s="113">
        <f t="shared" si="29"/>
        <v>1026.625540498135</v>
      </c>
      <c r="S59" s="113">
        <f>(S57*S55)/(1000*$C14*$C15*$C16*$C13)</f>
        <v>1026.6247003186174</v>
      </c>
      <c r="T59" s="113">
        <f t="shared" ref="T59:AA59" si="30">(T57*T55)/(1000*$C14*$C15*$C16*$C13)</f>
        <v>1020.0442581139838</v>
      </c>
      <c r="U59" s="113">
        <f>(U57*U55)/(1000*$C14*$C15*$C16*$C13)</f>
        <v>1013.4638159093502</v>
      </c>
      <c r="V59" s="113">
        <f t="shared" si="30"/>
        <v>1006.8833737047164</v>
      </c>
      <c r="W59" s="113">
        <f t="shared" si="30"/>
        <v>1000.3029315000825</v>
      </c>
      <c r="X59" s="113">
        <f t="shared" si="30"/>
        <v>993.7224892954489</v>
      </c>
      <c r="Y59" s="113">
        <f t="shared" si="30"/>
        <v>987.14204709081514</v>
      </c>
      <c r="Z59" s="113">
        <f t="shared" si="30"/>
        <v>980.5616048861815</v>
      </c>
      <c r="AA59" s="113">
        <f t="shared" si="30"/>
        <v>973.98116268154774</v>
      </c>
      <c r="AB59" s="113">
        <f>(AB57*AB55)/(1000*$C14*$C15*$C16*$C13)</f>
        <v>967.40156065643123</v>
      </c>
      <c r="AC59" s="113">
        <f t="shared" si="29"/>
        <v>897.17011536411883</v>
      </c>
      <c r="AD59" s="113">
        <f>(AD57*AD55)/(1000*$C14*$C15*$C16*$C13)</f>
        <v>821.77313658320054</v>
      </c>
      <c r="AE59" s="113">
        <f>(AE57*AE55)/(1000*$C14*$C15*$C16*$C13)</f>
        <v>742.57253478442738</v>
      </c>
      <c r="AF59" s="113">
        <f>(AF57*AF55)/(1000*$C14*$C15*$C16*$C13)</f>
        <v>660.93073203629092</v>
      </c>
      <c r="AG59" s="113">
        <f>(AG57*AG55)/(1000*$C14*$C15*$C16*$C13)</f>
        <v>578.20965753461644</v>
      </c>
      <c r="AH59" s="113">
        <f>(AH57*AH55)/(1000*$C14*$C15*$C16*$C13)</f>
        <v>495.77058331167706</v>
      </c>
      <c r="AI59" s="113">
        <f t="shared" si="29"/>
        <v>414.97395994530297</v>
      </c>
      <c r="AJ59" s="113">
        <f t="shared" si="29"/>
        <v>337.17925226799474</v>
      </c>
      <c r="AK59" s="113">
        <f t="shared" si="29"/>
        <v>263.74477507603336</v>
      </c>
      <c r="AL59" s="113">
        <f t="shared" si="29"/>
        <v>196.0275288385935</v>
      </c>
      <c r="AM59" s="113">
        <f t="shared" si="29"/>
        <v>135.38303540685337</v>
      </c>
      <c r="AN59" s="113">
        <f t="shared" si="29"/>
        <v>135.38303540685337</v>
      </c>
      <c r="AO59" s="113">
        <f t="shared" si="29"/>
        <v>24.756296665748781</v>
      </c>
      <c r="AP59" s="113">
        <f t="shared" si="29"/>
        <v>53.054463280442199</v>
      </c>
      <c r="AQ59" s="113">
        <f t="shared" si="29"/>
        <v>23.515738136421575</v>
      </c>
      <c r="AR59" s="113">
        <f t="shared" si="29"/>
        <v>25.048479366011442</v>
      </c>
      <c r="AS59" s="113">
        <f t="shared" si="29"/>
        <v>0</v>
      </c>
      <c r="AT59" s="113">
        <f t="shared" si="29"/>
        <v>0</v>
      </c>
    </row>
    <row r="60" spans="1:46" s="113" customFormat="1">
      <c r="B60" s="113" t="s">
        <v>58</v>
      </c>
      <c r="G60" s="113">
        <f>((G58)/2)*G28</f>
        <v>3109.9864496574392</v>
      </c>
      <c r="H60" s="113">
        <f>((H58+G58)/2)*H29</f>
        <v>586.40202771783095</v>
      </c>
      <c r="I60" s="113">
        <f t="shared" ref="I60:O60" si="31">((I58+H58)/2)*I29</f>
        <v>150.78428921857812</v>
      </c>
      <c r="J60" s="113">
        <f>((J58+I58)/2)*J29</f>
        <v>190.32247895604939</v>
      </c>
      <c r="K60" s="113">
        <f t="shared" si="31"/>
        <v>240.40703218629054</v>
      </c>
      <c r="L60" s="113">
        <f t="shared" si="31"/>
        <v>303.70881597890207</v>
      </c>
      <c r="M60" s="113">
        <f t="shared" si="31"/>
        <v>383.29071361988224</v>
      </c>
      <c r="N60" s="113">
        <f>((N58+M58)/2)*N29</f>
        <v>482.3086096002657</v>
      </c>
      <c r="O60" s="113">
        <f t="shared" si="31"/>
        <v>603.24031807762515</v>
      </c>
      <c r="P60" s="113">
        <f>((P58+O58)/2)*P29</f>
        <v>746.21688364984152</v>
      </c>
      <c r="Q60" s="113">
        <f>((Q58+P58)/2)*Q29</f>
        <v>905.78915748719078</v>
      </c>
      <c r="R60" s="113">
        <f>((R58+Q58)/2)*R29</f>
        <v>1065.2912201348863</v>
      </c>
      <c r="S60" s="113">
        <f>((S58+R58)/2)*S31</f>
        <v>5444.2494362316293</v>
      </c>
      <c r="T60" s="113">
        <f t="shared" ref="T60:Z60" si="32">((T58+S58)/2)*T29</f>
        <v>5426.79898513837</v>
      </c>
      <c r="U60" s="113">
        <f>((U58+T58)/2)*U29</f>
        <v>5391.902538470008</v>
      </c>
      <c r="V60" s="113">
        <f t="shared" si="32"/>
        <v>5357.0060918016461</v>
      </c>
      <c r="W60" s="113">
        <f t="shared" si="32"/>
        <v>5322.1096451332805</v>
      </c>
      <c r="X60" s="113">
        <f>((X58+W58)/2)*X29</f>
        <v>5287.2131984649177</v>
      </c>
      <c r="Y60" s="113">
        <f t="shared" si="32"/>
        <v>5252.3167517965549</v>
      </c>
      <c r="Z60" s="113">
        <f t="shared" si="32"/>
        <v>5217.420305128192</v>
      </c>
      <c r="AA60" s="113">
        <f>((AA58+Z58)/2)*AA29</f>
        <v>5182.5238584598301</v>
      </c>
      <c r="AB60" s="113">
        <f>((AB58+AA58)/2)*AB30</f>
        <v>25566.580704747445</v>
      </c>
      <c r="AC60" s="113">
        <f t="shared" ref="AC60:AH60" si="33">((AC58+AB58)/2)*AC29</f>
        <v>390.39177915473198</v>
      </c>
      <c r="AD60" s="113">
        <f t="shared" si="33"/>
        <v>359.90105557429848</v>
      </c>
      <c r="AE60" s="113">
        <f t="shared" si="33"/>
        <v>327.53242887482384</v>
      </c>
      <c r="AF60" s="113">
        <f t="shared" si="33"/>
        <v>293.85630192184681</v>
      </c>
      <c r="AG60" s="113">
        <f t="shared" si="33"/>
        <v>259.44308150143894</v>
      </c>
      <c r="AH60" s="113">
        <f t="shared" si="33"/>
        <v>224.86293361263691</v>
      </c>
      <c r="AI60" s="113">
        <f t="shared" ref="AI60:AP60" si="34">((AI58+AH58)/2)*AI29</f>
        <v>190.68571467114663</v>
      </c>
      <c r="AJ60" s="113">
        <f t="shared" si="34"/>
        <v>157.48090271304741</v>
      </c>
      <c r="AK60" s="113">
        <f t="shared" si="34"/>
        <v>125.81752859849641</v>
      </c>
      <c r="AL60" s="113">
        <f>((AL58+AK58)/2)*AL29</f>
        <v>96.264107215432716</v>
      </c>
      <c r="AM60" s="113">
        <f t="shared" si="34"/>
        <v>69.38856868328169</v>
      </c>
      <c r="AN60" s="113">
        <f t="shared" si="34"/>
        <v>0</v>
      </c>
      <c r="AO60" s="113">
        <f t="shared" si="34"/>
        <v>324.91122278520038</v>
      </c>
      <c r="AP60" s="113">
        <f t="shared" si="34"/>
        <v>0</v>
      </c>
      <c r="AQ60" s="113">
        <f>((AQ58)/2)*AQ29</f>
        <v>40.377677443898406</v>
      </c>
      <c r="AR60" s="113">
        <f>((AR58)/2)*AR29</f>
        <v>0</v>
      </c>
      <c r="AS60" s="113">
        <f>((AS58)/2)*AS29</f>
        <v>0</v>
      </c>
      <c r="AT60" s="113">
        <f>((AT58)/2)*AT29</f>
        <v>0</v>
      </c>
    </row>
    <row r="61" spans="1:46" s="113" customFormat="1">
      <c r="B61" s="113" t="s">
        <v>59</v>
      </c>
      <c r="G61" s="113">
        <f>((G59)/2)*G28</f>
        <v>3780.9615594375696</v>
      </c>
      <c r="H61" s="113">
        <f>((H59+G59)/2)*H29</f>
        <v>712.91742297513235</v>
      </c>
      <c r="I61" s="113">
        <f>((I59+H59)/2)*I29</f>
        <v>183.31578305280314</v>
      </c>
      <c r="J61" s="113">
        <f t="shared" ref="J61:Q61" si="35">((J59+I59)/2)*J29</f>
        <v>231.38428043921274</v>
      </c>
      <c r="K61" s="113">
        <f t="shared" si="35"/>
        <v>292.27450409469049</v>
      </c>
      <c r="L61" s="113">
        <f t="shared" si="35"/>
        <v>369.23355682305703</v>
      </c>
      <c r="M61" s="113">
        <f t="shared" si="35"/>
        <v>465.98513458018346</v>
      </c>
      <c r="N61" s="113">
        <f t="shared" si="35"/>
        <v>586.36599940339056</v>
      </c>
      <c r="O61" s="113">
        <f t="shared" si="35"/>
        <v>733.38855029597426</v>
      </c>
      <c r="P61" s="113">
        <f t="shared" si="35"/>
        <v>907.21210453959486</v>
      </c>
      <c r="Q61" s="113">
        <f t="shared" si="35"/>
        <v>1101.2118672708825</v>
      </c>
      <c r="R61" s="113">
        <f>((R59+Q59)/2)*R29</f>
        <v>1295.1262708491897</v>
      </c>
      <c r="S61" s="113">
        <f>((S59+R59)/2)*S31</f>
        <v>6618.8384327683498</v>
      </c>
      <c r="T61" s="113">
        <f t="shared" ref="T61:AB61" si="36">((T59+S59)/2)*T29</f>
        <v>6597.6230719150162</v>
      </c>
      <c r="U61" s="113">
        <f t="shared" si="36"/>
        <v>6555.1977669981497</v>
      </c>
      <c r="V61" s="113">
        <f t="shared" si="36"/>
        <v>6512.7724620812833</v>
      </c>
      <c r="W61" s="113">
        <f t="shared" si="36"/>
        <v>6470.3471571644113</v>
      </c>
      <c r="X61" s="113">
        <f t="shared" si="36"/>
        <v>6427.9218522475448</v>
      </c>
      <c r="Y61" s="113">
        <f t="shared" si="36"/>
        <v>6385.4965473306784</v>
      </c>
      <c r="Z61" s="113">
        <f t="shared" si="36"/>
        <v>6343.0712424138119</v>
      </c>
      <c r="AA61" s="113">
        <f t="shared" si="36"/>
        <v>6300.6459374969445</v>
      </c>
      <c r="AB61" s="113">
        <f t="shared" si="36"/>
        <v>31082.533771668368</v>
      </c>
      <c r="AC61" s="113">
        <f t="shared" ref="AC61:AL61" si="37">((AC59)/2)*AC29</f>
        <v>228.37057481996018</v>
      </c>
      <c r="AD61" s="113">
        <f t="shared" si="37"/>
        <v>209.17861658481712</v>
      </c>
      <c r="AE61" s="113">
        <f t="shared" si="37"/>
        <v>189.01846339967463</v>
      </c>
      <c r="AF61" s="113">
        <f t="shared" si="37"/>
        <v>168.23691360923965</v>
      </c>
      <c r="AG61" s="113">
        <f t="shared" si="37"/>
        <v>147.18064009972227</v>
      </c>
      <c r="AH61" s="113">
        <f t="shared" si="37"/>
        <v>126.19614847933745</v>
      </c>
      <c r="AI61" s="113">
        <f t="shared" si="37"/>
        <v>105.62973525880562</v>
      </c>
      <c r="AJ61" s="113">
        <f t="shared" si="37"/>
        <v>85.827446031854208</v>
      </c>
      <c r="AK61" s="113">
        <f t="shared" si="37"/>
        <v>67.135033655718374</v>
      </c>
      <c r="AL61" s="113">
        <f t="shared" si="37"/>
        <v>49.897916431642564</v>
      </c>
      <c r="AM61" s="113">
        <f t="shared" ref="AM61:AT61" si="38">((AM59)/2)*AM29</f>
        <v>34.461136285381258</v>
      </c>
      <c r="AN61" s="113">
        <f t="shared" si="38"/>
        <v>0</v>
      </c>
      <c r="AO61" s="113">
        <f t="shared" si="38"/>
        <v>61.065531775513705</v>
      </c>
      <c r="AP61" s="113">
        <f t="shared" si="38"/>
        <v>0</v>
      </c>
      <c r="AQ61" s="113">
        <f t="shared" si="38"/>
        <v>49.089103359780005</v>
      </c>
      <c r="AR61" s="113">
        <f t="shared" si="38"/>
        <v>0</v>
      </c>
      <c r="AS61" s="113">
        <f t="shared" si="38"/>
        <v>0</v>
      </c>
      <c r="AT61" s="113">
        <f t="shared" si="38"/>
        <v>0</v>
      </c>
    </row>
    <row r="62" spans="1:46" s="4" customFormat="1">
      <c r="A62" s="2"/>
      <c r="B62" s="2"/>
      <c r="C62" s="2"/>
      <c r="D62" s="2"/>
      <c r="E62" s="2"/>
    </row>
    <row r="63" spans="1:46" s="5" customFormat="1">
      <c r="B63" s="5" t="s">
        <v>60</v>
      </c>
      <c r="C63" s="5" t="s">
        <v>61</v>
      </c>
    </row>
    <row r="64" spans="1:46" s="5" customFormat="1">
      <c r="B64" s="5" t="s">
        <v>52</v>
      </c>
      <c r="C64" s="5">
        <f>$C17-$C17*(AS19/$C43)</f>
        <v>9.9999999991773336E-7</v>
      </c>
    </row>
    <row r="65" spans="1:5" s="5" customFormat="1">
      <c r="B65" s="5" t="s">
        <v>53</v>
      </c>
      <c r="C65" s="5">
        <f>$C17*C19-$C17*((C19*C19)/(2*$C43))+$C20</f>
        <v>6</v>
      </c>
    </row>
    <row r="66" spans="1:5" s="5" customFormat="1">
      <c r="B66" s="5" t="s">
        <v>54</v>
      </c>
      <c r="C66" s="5">
        <f>C21*AS19+C17*((AS19^2)/2)-C17*((AS19^3)/(6*D43))</f>
        <v>38.705811764698915</v>
      </c>
    </row>
    <row r="67" spans="1:5" s="5" customFormat="1">
      <c r="B67" s="5" t="s">
        <v>55</v>
      </c>
      <c r="C67" s="5">
        <f>9.81*(C21-($C17*$C18-$C19*$C20)*($C14-2*C66))+C15*C64</f>
        <v>146.21421821385692</v>
      </c>
    </row>
    <row r="68" spans="1:5" s="65" customFormat="1" ht="9.9499999999999993" customHeight="1"/>
    <row r="69" spans="1:5" s="64" customFormat="1">
      <c r="A69" s="63"/>
      <c r="B69" s="63"/>
      <c r="C69" s="63"/>
      <c r="D69" s="63"/>
      <c r="E69" s="63"/>
    </row>
    <row r="70" spans="1:5" s="64" customFormat="1">
      <c r="A70" s="63"/>
      <c r="B70" s="63"/>
      <c r="C70" s="63"/>
      <c r="D70" s="63"/>
      <c r="E70" s="63"/>
    </row>
    <row r="71" spans="1:5" s="64" customFormat="1">
      <c r="A71" s="63"/>
      <c r="B71" s="63"/>
      <c r="C71" s="63"/>
      <c r="D71" s="63"/>
      <c r="E71" s="63"/>
    </row>
    <row r="72" spans="1:5" s="64" customFormat="1">
      <c r="A72" s="63"/>
      <c r="B72" s="63"/>
      <c r="C72" s="63"/>
      <c r="D72" s="63"/>
      <c r="E72" s="63"/>
    </row>
    <row r="73" spans="1:5" s="64" customFormat="1">
      <c r="A73" s="63"/>
      <c r="B73" s="63"/>
      <c r="C73" s="63"/>
      <c r="D73" s="63"/>
      <c r="E73" s="63"/>
    </row>
    <row r="74" spans="1:5" s="64" customFormat="1">
      <c r="A74" s="63"/>
      <c r="B74" s="63"/>
      <c r="C74" s="63"/>
      <c r="D74" s="63"/>
      <c r="E74" s="63"/>
    </row>
    <row r="75" spans="1:5" s="64" customFormat="1">
      <c r="A75" s="63"/>
      <c r="B75" s="63"/>
      <c r="C75" s="63"/>
      <c r="D75" s="63"/>
      <c r="E75" s="63"/>
    </row>
    <row r="76" spans="1:5" s="64" customFormat="1">
      <c r="A76" s="63"/>
      <c r="B76" s="63"/>
      <c r="C76" s="63"/>
      <c r="D76" s="63"/>
      <c r="E76" s="63"/>
    </row>
    <row r="77" spans="1:5" s="64" customFormat="1">
      <c r="A77" s="63"/>
      <c r="B77" s="63"/>
      <c r="C77" s="63"/>
      <c r="D77" s="63"/>
      <c r="E77" s="63"/>
    </row>
    <row r="78" spans="1:5" s="64" customFormat="1">
      <c r="A78" s="63"/>
      <c r="B78" s="63"/>
      <c r="C78" s="63"/>
      <c r="D78" s="63"/>
      <c r="E78" s="63"/>
    </row>
    <row r="79" spans="1:5" s="64" customFormat="1">
      <c r="A79" s="63"/>
      <c r="B79" s="63"/>
      <c r="C79" s="63"/>
      <c r="D79" s="63"/>
      <c r="E79" s="63"/>
    </row>
    <row r="80" spans="1:5" s="64" customFormat="1">
      <c r="A80" s="63"/>
      <c r="B80" s="63"/>
      <c r="C80" s="63"/>
      <c r="D80" s="63"/>
      <c r="E80" s="63"/>
    </row>
    <row r="81" spans="1:5" s="64" customFormat="1">
      <c r="A81" s="63"/>
      <c r="B81" s="63"/>
      <c r="C81" s="63"/>
      <c r="D81" s="63"/>
      <c r="E81" s="63"/>
    </row>
    <row r="82" spans="1:5" s="64" customFormat="1">
      <c r="A82" s="63"/>
      <c r="B82" s="63"/>
      <c r="C82" s="63"/>
      <c r="D82" s="63"/>
      <c r="E82" s="63"/>
    </row>
    <row r="83" spans="1:5" s="64" customFormat="1">
      <c r="A83" s="63"/>
      <c r="B83" s="63"/>
      <c r="C83" s="63"/>
      <c r="D83" s="63"/>
      <c r="E83" s="63"/>
    </row>
    <row r="84" spans="1:5" s="64" customFormat="1">
      <c r="A84" s="63"/>
      <c r="B84" s="63"/>
      <c r="C84" s="63"/>
      <c r="D84" s="63"/>
      <c r="E84" s="63"/>
    </row>
    <row r="85" spans="1:5" s="64" customFormat="1">
      <c r="A85" s="63"/>
      <c r="B85" s="63"/>
      <c r="C85" s="63"/>
      <c r="D85" s="63"/>
      <c r="E85" s="63"/>
    </row>
    <row r="86" spans="1:5" s="64" customFormat="1">
      <c r="A86" s="63"/>
      <c r="B86" s="63"/>
      <c r="C86" s="63"/>
      <c r="D86" s="63"/>
      <c r="E86" s="63"/>
    </row>
    <row r="87" spans="1:5" s="64" customFormat="1">
      <c r="A87" s="63"/>
      <c r="B87" s="63"/>
      <c r="C87" s="63"/>
      <c r="D87" s="63"/>
      <c r="E87" s="63"/>
    </row>
    <row r="88" spans="1:5" s="64" customFormat="1">
      <c r="A88" s="63"/>
      <c r="B88" s="63"/>
      <c r="C88" s="63"/>
      <c r="D88" s="63"/>
      <c r="E88" s="63"/>
    </row>
    <row r="89" spans="1:5" s="64" customFormat="1">
      <c r="A89" s="63"/>
      <c r="B89" s="63"/>
      <c r="C89" s="63"/>
      <c r="D89" s="63"/>
      <c r="E89" s="63"/>
    </row>
    <row r="90" spans="1:5" s="64" customFormat="1">
      <c r="A90" s="63"/>
      <c r="B90" s="63"/>
      <c r="C90" s="63"/>
      <c r="D90" s="63"/>
      <c r="E90" s="63"/>
    </row>
    <row r="91" spans="1:5" s="64" customFormat="1">
      <c r="A91" s="63"/>
      <c r="B91" s="63"/>
      <c r="C91" s="63"/>
      <c r="D91" s="63"/>
      <c r="E91" s="63"/>
    </row>
    <row r="92" spans="1:5" s="64" customFormat="1">
      <c r="A92" s="63"/>
      <c r="B92" s="63"/>
      <c r="C92" s="63"/>
      <c r="D92" s="63"/>
      <c r="E92" s="63"/>
    </row>
    <row r="93" spans="1:5" s="64" customFormat="1">
      <c r="A93" s="63"/>
      <c r="B93" s="63"/>
      <c r="C93" s="63"/>
      <c r="D93" s="63"/>
      <c r="E93" s="63"/>
    </row>
    <row r="94" spans="1:5" s="64" customFormat="1">
      <c r="A94" s="63"/>
      <c r="B94" s="63"/>
      <c r="C94" s="63"/>
      <c r="D94" s="63"/>
      <c r="E94" s="63"/>
    </row>
    <row r="95" spans="1:5" s="64" customFormat="1">
      <c r="A95" s="63"/>
      <c r="B95" s="63"/>
      <c r="C95" s="63"/>
      <c r="D95" s="63"/>
      <c r="E95" s="63"/>
    </row>
    <row r="96" spans="1:5" s="64" customFormat="1">
      <c r="A96" s="63"/>
      <c r="B96" s="63"/>
      <c r="C96" s="63"/>
      <c r="D96" s="63"/>
      <c r="E96" s="63"/>
    </row>
    <row r="97" spans="1:5" s="64" customFormat="1">
      <c r="A97" s="63"/>
      <c r="B97" s="63"/>
      <c r="C97" s="63"/>
      <c r="D97" s="63"/>
      <c r="E97" s="63"/>
    </row>
    <row r="98" spans="1:5" s="64" customFormat="1">
      <c r="A98" s="63"/>
      <c r="B98" s="63"/>
      <c r="C98" s="63"/>
      <c r="D98" s="63"/>
      <c r="E98" s="63"/>
    </row>
    <row r="99" spans="1:5" s="64" customFormat="1">
      <c r="A99" s="63"/>
      <c r="B99" s="63"/>
      <c r="C99" s="63"/>
      <c r="D99" s="63"/>
      <c r="E99" s="63"/>
    </row>
    <row r="100" spans="1:5" s="64" customFormat="1">
      <c r="A100" s="63"/>
      <c r="B100" s="63"/>
      <c r="C100" s="63"/>
      <c r="D100" s="63"/>
      <c r="E100" s="63"/>
    </row>
    <row r="101" spans="1:5" s="8" customFormat="1">
      <c r="A101" s="1"/>
      <c r="B101" s="1"/>
      <c r="C101" s="1"/>
      <c r="D101" s="1"/>
      <c r="E101" s="1"/>
    </row>
    <row r="102" spans="1:5" s="8" customFormat="1">
      <c r="A102" s="1"/>
      <c r="B102" s="1"/>
      <c r="C102" s="1"/>
      <c r="D102" s="1"/>
      <c r="E102" s="1"/>
    </row>
    <row r="103" spans="1:5" s="8" customFormat="1">
      <c r="A103" s="1"/>
      <c r="B103" s="1"/>
      <c r="C103" s="1"/>
      <c r="D103" s="1"/>
      <c r="E103" s="1"/>
    </row>
    <row r="104" spans="1:5" s="8" customFormat="1">
      <c r="A104" s="1"/>
      <c r="B104" s="1"/>
      <c r="C104" s="1"/>
      <c r="D104" s="1"/>
      <c r="E104" s="1"/>
    </row>
    <row r="105" spans="1:5" s="8" customFormat="1">
      <c r="A105" s="1"/>
      <c r="B105" s="1"/>
      <c r="C105" s="1"/>
      <c r="D105" s="1"/>
      <c r="E105" s="1"/>
    </row>
    <row r="106" spans="1:5" s="64" customFormat="1">
      <c r="A106" s="63"/>
      <c r="B106" s="63"/>
      <c r="C106" s="63"/>
      <c r="D106" s="63"/>
      <c r="E106" s="63"/>
    </row>
    <row r="107" spans="1:5" s="64" customFormat="1">
      <c r="A107" s="63"/>
      <c r="B107" s="63"/>
      <c r="C107" s="63"/>
      <c r="D107" s="63"/>
      <c r="E107" s="63"/>
    </row>
    <row r="108" spans="1:5" s="64" customFormat="1">
      <c r="A108" s="63"/>
      <c r="B108" s="63"/>
      <c r="C108" s="63"/>
      <c r="D108" s="63"/>
      <c r="E108" s="63"/>
    </row>
    <row r="109" spans="1:5" s="64" customFormat="1">
      <c r="A109" s="63"/>
      <c r="B109" s="63"/>
      <c r="C109" s="63"/>
      <c r="D109" s="63"/>
      <c r="E109" s="63"/>
    </row>
    <row r="110" spans="1:5" s="64" customFormat="1">
      <c r="A110" s="63"/>
      <c r="B110" s="63"/>
      <c r="C110" s="63"/>
      <c r="D110" s="63"/>
      <c r="E110" s="63"/>
    </row>
    <row r="111" spans="1:5" s="64" customFormat="1">
      <c r="A111" s="63"/>
      <c r="B111" s="63"/>
      <c r="C111" s="63"/>
      <c r="D111" s="63"/>
      <c r="E111" s="63"/>
    </row>
    <row r="112" spans="1:5" s="64" customFormat="1">
      <c r="A112" s="63"/>
      <c r="B112" s="63"/>
      <c r="C112" s="63"/>
      <c r="D112" s="63"/>
      <c r="E112" s="63"/>
    </row>
    <row r="113" spans="1:5" s="4" customFormat="1">
      <c r="A113"/>
      <c r="B113"/>
      <c r="C113"/>
      <c r="D113"/>
      <c r="E113"/>
    </row>
    <row r="114" spans="1:5" s="4" customFormat="1">
      <c r="A114"/>
      <c r="B114"/>
      <c r="C114"/>
      <c r="D114"/>
      <c r="E114"/>
    </row>
    <row r="115" spans="1:5" s="4" customFormat="1">
      <c r="A115"/>
      <c r="B115"/>
      <c r="C115"/>
      <c r="D115"/>
      <c r="E115"/>
    </row>
    <row r="116" spans="1:5" s="4" customFormat="1">
      <c r="A116"/>
      <c r="B116"/>
      <c r="C116"/>
      <c r="D116"/>
      <c r="E116"/>
    </row>
    <row r="117" spans="1:5" s="4" customFormat="1">
      <c r="A117"/>
      <c r="B117"/>
      <c r="C117"/>
      <c r="D117"/>
      <c r="E117"/>
    </row>
    <row r="118" spans="1:5" s="4" customFormat="1">
      <c r="A118"/>
      <c r="B118"/>
      <c r="C118"/>
      <c r="D118"/>
      <c r="E118"/>
    </row>
    <row r="119" spans="1:5" s="4" customFormat="1">
      <c r="A119"/>
      <c r="B119"/>
      <c r="C119"/>
      <c r="D119"/>
      <c r="E119"/>
    </row>
    <row r="120" spans="1:5" s="4" customFormat="1">
      <c r="A120"/>
      <c r="B120"/>
      <c r="C120"/>
      <c r="D120"/>
      <c r="E120"/>
    </row>
    <row r="121" spans="1:5" s="4" customFormat="1">
      <c r="A121"/>
      <c r="B121"/>
      <c r="C121"/>
      <c r="D121"/>
      <c r="E121"/>
    </row>
    <row r="122" spans="1:5" s="4" customFormat="1">
      <c r="A122"/>
      <c r="B122"/>
      <c r="C122"/>
      <c r="D122"/>
      <c r="E122"/>
    </row>
    <row r="123" spans="1:5" s="4" customFormat="1">
      <c r="A123"/>
      <c r="B123"/>
      <c r="C123"/>
      <c r="D123"/>
      <c r="E123"/>
    </row>
    <row r="124" spans="1:5" s="4" customFormat="1">
      <c r="A124"/>
      <c r="B124"/>
      <c r="C124"/>
      <c r="D124"/>
      <c r="E124"/>
    </row>
    <row r="125" spans="1:5" s="4" customFormat="1">
      <c r="A125"/>
      <c r="B125"/>
      <c r="C125"/>
      <c r="D125"/>
      <c r="E125"/>
    </row>
    <row r="126" spans="1:5" s="4" customFormat="1">
      <c r="A126"/>
      <c r="B126"/>
      <c r="C126"/>
      <c r="D126"/>
      <c r="E126"/>
    </row>
    <row r="127" spans="1:5" s="4" customFormat="1">
      <c r="A127"/>
      <c r="B127"/>
      <c r="C127"/>
      <c r="D127"/>
      <c r="E127"/>
    </row>
    <row r="128" spans="1:5" s="4" customFormat="1">
      <c r="A128"/>
      <c r="B128"/>
      <c r="C128"/>
      <c r="D128"/>
      <c r="E128"/>
    </row>
    <row r="129" spans="1:5" s="4" customFormat="1">
      <c r="A129"/>
      <c r="B129"/>
      <c r="C129"/>
      <c r="D129"/>
      <c r="E129"/>
    </row>
    <row r="130" spans="1:5" s="4" customFormat="1">
      <c r="A130"/>
      <c r="B130"/>
      <c r="C130"/>
      <c r="D130"/>
      <c r="E130"/>
    </row>
    <row r="131" spans="1:5" s="4" customFormat="1">
      <c r="A131"/>
      <c r="B131"/>
      <c r="C131"/>
      <c r="D131"/>
      <c r="E131"/>
    </row>
    <row r="132" spans="1:5" s="4" customFormat="1">
      <c r="A132"/>
      <c r="B132"/>
      <c r="C132"/>
      <c r="D132"/>
      <c r="E132"/>
    </row>
    <row r="133" spans="1:5" s="4" customFormat="1">
      <c r="A133"/>
      <c r="B133"/>
      <c r="C133"/>
      <c r="D133"/>
      <c r="E133"/>
    </row>
    <row r="134" spans="1:5" s="4" customFormat="1">
      <c r="A134"/>
      <c r="B134"/>
      <c r="C134"/>
      <c r="D134"/>
      <c r="E134"/>
    </row>
    <row r="135" spans="1:5" s="4" customFormat="1">
      <c r="A135"/>
      <c r="B135"/>
      <c r="C135"/>
      <c r="D135"/>
      <c r="E135"/>
    </row>
    <row r="136" spans="1:5" s="4" customFormat="1">
      <c r="A136"/>
      <c r="B136"/>
      <c r="C136"/>
      <c r="D136"/>
      <c r="E136"/>
    </row>
    <row r="137" spans="1:5" s="4" customFormat="1">
      <c r="A137"/>
      <c r="B137"/>
      <c r="C137"/>
      <c r="D137"/>
      <c r="E137"/>
    </row>
    <row r="138" spans="1:5" s="4" customFormat="1">
      <c r="A138"/>
      <c r="B138"/>
      <c r="C138"/>
      <c r="D138"/>
      <c r="E138"/>
    </row>
    <row r="139" spans="1:5" s="4" customFormat="1">
      <c r="A139"/>
      <c r="B139"/>
      <c r="C139"/>
      <c r="D139"/>
      <c r="E139"/>
    </row>
    <row r="140" spans="1:5" s="4" customFormat="1">
      <c r="A140"/>
      <c r="B140"/>
      <c r="C140"/>
      <c r="D140"/>
      <c r="E140"/>
    </row>
    <row r="141" spans="1:5" s="4" customFormat="1">
      <c r="A141"/>
      <c r="B141"/>
      <c r="C141"/>
      <c r="D141"/>
      <c r="E141"/>
    </row>
    <row r="142" spans="1:5" s="4" customFormat="1">
      <c r="A142"/>
      <c r="B142"/>
      <c r="C142"/>
      <c r="D142"/>
      <c r="E142"/>
    </row>
    <row r="143" spans="1:5" s="4" customFormat="1">
      <c r="A143"/>
      <c r="B143"/>
      <c r="C143"/>
      <c r="D143"/>
      <c r="E143"/>
    </row>
    <row r="144" spans="1:5" s="4" customFormat="1">
      <c r="A144"/>
      <c r="B144"/>
      <c r="C144"/>
      <c r="D144"/>
      <c r="E144"/>
    </row>
    <row r="145" spans="1:5" s="4" customFormat="1">
      <c r="A145"/>
      <c r="B145"/>
      <c r="C145"/>
      <c r="D145"/>
      <c r="E145"/>
    </row>
    <row r="146" spans="1:5" s="4" customFormat="1">
      <c r="A146"/>
      <c r="B146"/>
      <c r="C146"/>
      <c r="D146"/>
      <c r="E146"/>
    </row>
    <row r="147" spans="1:5" s="4" customFormat="1">
      <c r="A147"/>
      <c r="B147"/>
      <c r="C147"/>
      <c r="D147"/>
      <c r="E147"/>
    </row>
    <row r="148" spans="1:5" s="4" customFormat="1">
      <c r="A148"/>
      <c r="B148"/>
      <c r="C148"/>
      <c r="D148"/>
      <c r="E148"/>
    </row>
    <row r="149" spans="1:5" s="4" customFormat="1">
      <c r="A149"/>
      <c r="B149"/>
      <c r="C149"/>
      <c r="D149"/>
      <c r="E149"/>
    </row>
    <row r="150" spans="1:5" s="4" customFormat="1">
      <c r="A150"/>
      <c r="B150"/>
      <c r="C150"/>
      <c r="D150"/>
      <c r="E150"/>
    </row>
    <row r="151" spans="1:5" s="4" customFormat="1">
      <c r="A151"/>
      <c r="B151"/>
      <c r="C151"/>
      <c r="D151"/>
      <c r="E151"/>
    </row>
    <row r="152" spans="1:5" s="4" customFormat="1">
      <c r="A152"/>
      <c r="B152"/>
      <c r="C152"/>
      <c r="D152"/>
      <c r="E152"/>
    </row>
    <row r="153" spans="1:5" s="4" customFormat="1">
      <c r="A153"/>
      <c r="B153"/>
      <c r="C153"/>
      <c r="D153"/>
      <c r="E153"/>
    </row>
    <row r="154" spans="1:5" s="4" customFormat="1">
      <c r="A154"/>
      <c r="B154"/>
      <c r="C154"/>
      <c r="D154"/>
      <c r="E154"/>
    </row>
    <row r="155" spans="1:5" s="4" customFormat="1">
      <c r="A155"/>
      <c r="B155"/>
      <c r="C155"/>
      <c r="D155"/>
      <c r="E155"/>
    </row>
    <row r="156" spans="1:5" s="4" customFormat="1">
      <c r="A156"/>
      <c r="B156"/>
      <c r="C156"/>
      <c r="D156"/>
      <c r="E156"/>
    </row>
    <row r="157" spans="1:5" s="4" customFormat="1">
      <c r="A157"/>
      <c r="B157"/>
      <c r="C157"/>
      <c r="D157"/>
      <c r="E157"/>
    </row>
    <row r="158" spans="1:5" s="4" customFormat="1">
      <c r="A158"/>
      <c r="B158"/>
      <c r="C158"/>
      <c r="D158"/>
      <c r="E158"/>
    </row>
    <row r="159" spans="1:5" s="4" customFormat="1">
      <c r="A159"/>
      <c r="B159"/>
      <c r="C159"/>
      <c r="D159"/>
      <c r="E159"/>
    </row>
    <row r="160" spans="1:5" s="4" customFormat="1">
      <c r="A160"/>
      <c r="B160"/>
      <c r="C160"/>
      <c r="D160"/>
      <c r="E160"/>
    </row>
    <row r="161" spans="1:5" s="4" customFormat="1">
      <c r="A161"/>
      <c r="B161"/>
      <c r="C161"/>
      <c r="D161"/>
      <c r="E161"/>
    </row>
    <row r="162" spans="1:5" s="4" customFormat="1">
      <c r="A162"/>
      <c r="B162"/>
      <c r="C162"/>
      <c r="D162"/>
      <c r="E162"/>
    </row>
    <row r="163" spans="1:5" s="4" customFormat="1">
      <c r="A163"/>
      <c r="B163"/>
      <c r="C163"/>
      <c r="D163"/>
      <c r="E163"/>
    </row>
    <row r="164" spans="1:5" s="4" customFormat="1">
      <c r="A164"/>
      <c r="B164"/>
      <c r="C164"/>
      <c r="D164"/>
      <c r="E164"/>
    </row>
    <row r="165" spans="1:5" s="4" customFormat="1">
      <c r="A165"/>
      <c r="B165"/>
      <c r="C165"/>
      <c r="D165"/>
      <c r="E165"/>
    </row>
    <row r="166" spans="1:5" s="4" customFormat="1">
      <c r="A166"/>
      <c r="B166"/>
      <c r="C166"/>
      <c r="D166"/>
      <c r="E166"/>
    </row>
    <row r="167" spans="1:5" s="4" customFormat="1">
      <c r="A167"/>
      <c r="B167"/>
      <c r="C167"/>
      <c r="D167"/>
      <c r="E167"/>
    </row>
    <row r="168" spans="1:5" s="4" customFormat="1">
      <c r="A168"/>
      <c r="B168"/>
      <c r="C168"/>
      <c r="D168"/>
      <c r="E168"/>
    </row>
    <row r="169" spans="1:5" s="4" customFormat="1">
      <c r="A169"/>
      <c r="B169"/>
      <c r="C169"/>
      <c r="D169"/>
      <c r="E169"/>
    </row>
    <row r="170" spans="1:5" s="4" customFormat="1">
      <c r="A170"/>
      <c r="B170"/>
      <c r="C170"/>
      <c r="D170"/>
      <c r="E170"/>
    </row>
    <row r="171" spans="1:5" s="4" customFormat="1">
      <c r="A171"/>
      <c r="B171"/>
      <c r="C171"/>
      <c r="D171"/>
      <c r="E171"/>
    </row>
    <row r="172" spans="1:5" s="4" customFormat="1">
      <c r="A172"/>
      <c r="B172"/>
      <c r="C172"/>
      <c r="D172"/>
      <c r="E172"/>
    </row>
    <row r="173" spans="1:5" s="4" customFormat="1">
      <c r="A173"/>
      <c r="B173"/>
      <c r="C173"/>
      <c r="D173"/>
      <c r="E173"/>
    </row>
    <row r="174" spans="1:5" s="4" customFormat="1">
      <c r="A174"/>
      <c r="B174"/>
      <c r="C174"/>
      <c r="D174"/>
      <c r="E174"/>
    </row>
    <row r="175" spans="1:5" s="4" customFormat="1">
      <c r="A175"/>
      <c r="B175"/>
      <c r="C175"/>
      <c r="D175"/>
      <c r="E175"/>
    </row>
    <row r="176" spans="1:5" s="4" customFormat="1">
      <c r="A176"/>
      <c r="B176"/>
      <c r="C176"/>
      <c r="D176"/>
      <c r="E176"/>
    </row>
    <row r="177" spans="1:5" s="4" customFormat="1">
      <c r="A177"/>
      <c r="B177"/>
      <c r="C177"/>
      <c r="D177"/>
      <c r="E177"/>
    </row>
    <row r="178" spans="1:5" s="4" customFormat="1">
      <c r="A178"/>
      <c r="B178"/>
      <c r="C178"/>
      <c r="D178"/>
      <c r="E178"/>
    </row>
    <row r="179" spans="1:5" s="4" customFormat="1">
      <c r="A179"/>
      <c r="B179"/>
      <c r="C179"/>
      <c r="D179"/>
      <c r="E179"/>
    </row>
    <row r="180" spans="1:5" s="4" customFormat="1">
      <c r="A180"/>
      <c r="B180"/>
      <c r="C180"/>
      <c r="D180"/>
      <c r="E180"/>
    </row>
    <row r="181" spans="1:5" s="4" customFormat="1">
      <c r="A181"/>
      <c r="B181"/>
      <c r="C181"/>
      <c r="D181"/>
      <c r="E181"/>
    </row>
    <row r="182" spans="1:5" s="4" customFormat="1">
      <c r="A182"/>
      <c r="B182"/>
      <c r="C182"/>
      <c r="D182"/>
      <c r="E182"/>
    </row>
    <row r="183" spans="1:5" s="4" customFormat="1">
      <c r="A183"/>
      <c r="B183"/>
      <c r="C183"/>
      <c r="D183"/>
      <c r="E183"/>
    </row>
    <row r="184" spans="1:5" s="4" customFormat="1">
      <c r="A184"/>
      <c r="B184"/>
      <c r="C184"/>
      <c r="D184"/>
      <c r="E184"/>
    </row>
    <row r="185" spans="1:5" s="4" customFormat="1">
      <c r="A185"/>
      <c r="B185"/>
      <c r="C185"/>
      <c r="D185"/>
      <c r="E185"/>
    </row>
    <row r="186" spans="1:5" s="4" customFormat="1">
      <c r="A186"/>
      <c r="B186"/>
      <c r="C186"/>
      <c r="D186"/>
      <c r="E186"/>
    </row>
    <row r="187" spans="1:5" s="4" customFormat="1">
      <c r="A187"/>
      <c r="B187"/>
      <c r="C187"/>
      <c r="D187"/>
      <c r="E187"/>
    </row>
    <row r="188" spans="1:5" s="4" customFormat="1">
      <c r="A188"/>
      <c r="B188"/>
      <c r="C188"/>
      <c r="D188"/>
      <c r="E188"/>
    </row>
    <row r="189" spans="1:5" s="4" customFormat="1">
      <c r="A189"/>
      <c r="B189"/>
      <c r="C189"/>
      <c r="D189"/>
      <c r="E189"/>
    </row>
    <row r="190" spans="1:5" s="4" customFormat="1">
      <c r="A190"/>
      <c r="B190"/>
      <c r="C190"/>
      <c r="D190"/>
      <c r="E190"/>
    </row>
    <row r="191" spans="1:5" s="4" customFormat="1">
      <c r="A191"/>
      <c r="B191"/>
      <c r="C191"/>
      <c r="D191"/>
      <c r="E191"/>
    </row>
    <row r="192" spans="1:5" s="4" customFormat="1">
      <c r="A192"/>
      <c r="B192"/>
      <c r="C192"/>
      <c r="D192"/>
      <c r="E192"/>
    </row>
    <row r="193" spans="1:5" s="4" customFormat="1">
      <c r="A193"/>
      <c r="B193"/>
      <c r="C193"/>
      <c r="D193"/>
      <c r="E193"/>
    </row>
    <row r="194" spans="1:5" s="4" customFormat="1">
      <c r="A194"/>
      <c r="B194"/>
      <c r="C194"/>
      <c r="D194"/>
      <c r="E194"/>
    </row>
    <row r="195" spans="1:5" s="4" customFormat="1">
      <c r="A195"/>
      <c r="B195"/>
      <c r="C195"/>
      <c r="D195"/>
      <c r="E195"/>
    </row>
    <row r="196" spans="1:5" s="4" customFormat="1">
      <c r="A196"/>
      <c r="B196"/>
      <c r="C196"/>
      <c r="D196"/>
      <c r="E196"/>
    </row>
    <row r="197" spans="1:5" s="4" customFormat="1">
      <c r="A197"/>
      <c r="B197"/>
      <c r="C197"/>
      <c r="D197"/>
      <c r="E197"/>
    </row>
    <row r="198" spans="1:5" s="4" customFormat="1">
      <c r="A198"/>
      <c r="B198"/>
      <c r="C198"/>
      <c r="D198"/>
      <c r="E198"/>
    </row>
    <row r="199" spans="1:5" s="4" customFormat="1">
      <c r="A199"/>
      <c r="B199"/>
      <c r="C199"/>
      <c r="D199"/>
      <c r="E199"/>
    </row>
    <row r="200" spans="1:5" s="4" customFormat="1">
      <c r="A200"/>
      <c r="B200"/>
      <c r="C200"/>
      <c r="D200"/>
      <c r="E200"/>
    </row>
    <row r="201" spans="1:5" s="4" customFormat="1">
      <c r="A201"/>
      <c r="B201"/>
      <c r="C201"/>
      <c r="D201"/>
      <c r="E201"/>
    </row>
    <row r="202" spans="1:5" s="4" customFormat="1">
      <c r="A202"/>
      <c r="B202"/>
      <c r="C202"/>
      <c r="D202"/>
      <c r="E202"/>
    </row>
    <row r="203" spans="1:5" s="4" customFormat="1">
      <c r="A203"/>
      <c r="B203"/>
      <c r="C203"/>
      <c r="D203"/>
      <c r="E203"/>
    </row>
    <row r="204" spans="1:5" s="4" customFormat="1">
      <c r="A204"/>
      <c r="B204"/>
      <c r="C204"/>
      <c r="D204"/>
      <c r="E204"/>
    </row>
    <row r="205" spans="1:5" s="4" customFormat="1">
      <c r="A205"/>
      <c r="B205"/>
      <c r="C205"/>
      <c r="D205"/>
      <c r="E205"/>
    </row>
    <row r="206" spans="1:5" s="4" customFormat="1">
      <c r="A206"/>
      <c r="B206"/>
      <c r="C206"/>
      <c r="D206"/>
      <c r="E206"/>
    </row>
    <row r="207" spans="1:5" s="4" customFormat="1">
      <c r="A207"/>
      <c r="B207"/>
      <c r="C207"/>
      <c r="D207"/>
      <c r="E207"/>
    </row>
    <row r="208" spans="1:5" s="4" customFormat="1">
      <c r="A208"/>
      <c r="B208"/>
      <c r="C208"/>
      <c r="D208"/>
      <c r="E208"/>
    </row>
    <row r="209" spans="1:5" s="4" customFormat="1">
      <c r="A209"/>
      <c r="B209"/>
      <c r="C209"/>
      <c r="D209"/>
      <c r="E209"/>
    </row>
    <row r="210" spans="1:5" s="4" customFormat="1">
      <c r="A210"/>
      <c r="B210"/>
      <c r="C210"/>
      <c r="D210"/>
      <c r="E210"/>
    </row>
    <row r="211" spans="1:5" s="4" customFormat="1">
      <c r="A211"/>
      <c r="B211"/>
      <c r="C211"/>
      <c r="D211"/>
      <c r="E211"/>
    </row>
    <row r="212" spans="1:5" s="4" customFormat="1">
      <c r="A212"/>
      <c r="B212"/>
      <c r="C212"/>
      <c r="D212"/>
      <c r="E212"/>
    </row>
    <row r="213" spans="1:5" s="4" customFormat="1">
      <c r="A213"/>
      <c r="B213"/>
      <c r="C213"/>
      <c r="D213"/>
      <c r="E213"/>
    </row>
    <row r="214" spans="1:5" s="4" customFormat="1" ht="25.5">
      <c r="A214"/>
      <c r="B214" s="3" t="s">
        <v>62</v>
      </c>
      <c r="C214"/>
      <c r="D214"/>
      <c r="E214"/>
    </row>
    <row r="215" spans="1:5" s="4" customFormat="1">
      <c r="A215"/>
      <c r="B215"/>
      <c r="C215"/>
      <c r="D215"/>
      <c r="E215"/>
    </row>
    <row r="216" spans="1:5" s="4" customFormat="1">
      <c r="A216"/>
      <c r="B216"/>
      <c r="C216"/>
      <c r="D216"/>
      <c r="E216"/>
    </row>
    <row r="217" spans="1:5" s="4" customFormat="1">
      <c r="A217"/>
      <c r="B217"/>
      <c r="C217"/>
      <c r="D217"/>
      <c r="E217"/>
    </row>
    <row r="218" spans="1:5" s="4" customFormat="1">
      <c r="A218"/>
      <c r="B218"/>
      <c r="C218"/>
      <c r="D218"/>
      <c r="E218"/>
    </row>
    <row r="219" spans="1:5" s="4" customFormat="1">
      <c r="A219"/>
      <c r="B219"/>
      <c r="C219"/>
      <c r="D219"/>
      <c r="E219"/>
    </row>
    <row r="220" spans="1:5" s="4" customFormat="1">
      <c r="A220"/>
      <c r="B220"/>
      <c r="C220"/>
      <c r="D220"/>
      <c r="E220"/>
    </row>
    <row r="221" spans="1:5" s="4" customFormat="1">
      <c r="A221"/>
      <c r="B221"/>
      <c r="C221"/>
      <c r="D221"/>
      <c r="E221"/>
    </row>
    <row r="222" spans="1:5" s="4" customFormat="1">
      <c r="A222"/>
      <c r="B222"/>
      <c r="C222"/>
      <c r="D222"/>
      <c r="E222"/>
    </row>
    <row r="223" spans="1:5" s="4" customFormat="1">
      <c r="A223"/>
      <c r="B223"/>
      <c r="C223"/>
      <c r="D223"/>
      <c r="E223"/>
    </row>
    <row r="224" spans="1:5" s="4" customFormat="1">
      <c r="A224"/>
      <c r="B224"/>
      <c r="C224"/>
      <c r="D224"/>
      <c r="E224"/>
    </row>
    <row r="225" spans="1:5" s="4" customFormat="1">
      <c r="A225"/>
      <c r="B225"/>
      <c r="C225"/>
      <c r="D225"/>
      <c r="E225"/>
    </row>
    <row r="226" spans="1:5" s="4" customFormat="1">
      <c r="A226"/>
      <c r="B226"/>
      <c r="C226"/>
      <c r="D226"/>
      <c r="E226"/>
    </row>
    <row r="227" spans="1:5" s="4" customFormat="1">
      <c r="A227"/>
      <c r="B227"/>
      <c r="C227"/>
      <c r="D227"/>
      <c r="E227"/>
    </row>
    <row r="228" spans="1:5" s="4" customFormat="1">
      <c r="A228"/>
      <c r="B228"/>
      <c r="C228"/>
      <c r="D228"/>
      <c r="E228"/>
    </row>
    <row r="229" spans="1:5" s="4" customFormat="1">
      <c r="A229"/>
      <c r="B229"/>
      <c r="C229"/>
      <c r="D229"/>
      <c r="E229"/>
    </row>
    <row r="230" spans="1:5" s="4" customFormat="1">
      <c r="A230"/>
      <c r="B230"/>
      <c r="C230"/>
      <c r="D230"/>
      <c r="E230"/>
    </row>
    <row r="231" spans="1:5" s="4" customFormat="1">
      <c r="A231"/>
      <c r="B231"/>
      <c r="C231"/>
      <c r="D231"/>
      <c r="E231"/>
    </row>
    <row r="232" spans="1:5" s="4" customFormat="1">
      <c r="A232"/>
      <c r="B232"/>
      <c r="C232"/>
      <c r="D232"/>
      <c r="E232"/>
    </row>
    <row r="233" spans="1:5" s="4" customFormat="1">
      <c r="A233"/>
      <c r="B233"/>
      <c r="C233"/>
      <c r="D233"/>
      <c r="E233"/>
    </row>
    <row r="234" spans="1:5" s="4" customFormat="1">
      <c r="A234"/>
      <c r="B234"/>
      <c r="C234"/>
      <c r="D234"/>
      <c r="E234"/>
    </row>
    <row r="235" spans="1:5" s="4" customFormat="1">
      <c r="A235"/>
      <c r="B235"/>
      <c r="C235"/>
      <c r="D235"/>
      <c r="E235"/>
    </row>
    <row r="236" spans="1:5" s="4" customFormat="1">
      <c r="A236"/>
      <c r="B236"/>
      <c r="C236"/>
      <c r="D236"/>
      <c r="E236"/>
    </row>
    <row r="237" spans="1:5" s="4" customFormat="1">
      <c r="A237"/>
      <c r="B237"/>
      <c r="C237"/>
      <c r="D237"/>
      <c r="E237"/>
    </row>
    <row r="238" spans="1:5" s="4" customFormat="1">
      <c r="A238"/>
      <c r="B238"/>
      <c r="C238"/>
      <c r="D238"/>
      <c r="E238"/>
    </row>
    <row r="239" spans="1:5" s="4" customFormat="1">
      <c r="A239"/>
      <c r="B239"/>
      <c r="C239"/>
      <c r="D239"/>
      <c r="E239"/>
    </row>
    <row r="240" spans="1:5" s="4" customFormat="1">
      <c r="A240"/>
      <c r="B240"/>
      <c r="C240"/>
      <c r="D240"/>
      <c r="E240"/>
    </row>
    <row r="241" spans="1:5" s="4" customFormat="1">
      <c r="A241"/>
      <c r="B241"/>
      <c r="C241"/>
      <c r="D241"/>
      <c r="E241"/>
    </row>
    <row r="242" spans="1:5" s="4" customFormat="1">
      <c r="A242"/>
      <c r="B242"/>
      <c r="C242"/>
      <c r="D242"/>
      <c r="E242"/>
    </row>
    <row r="243" spans="1:5" s="4" customFormat="1">
      <c r="A243"/>
      <c r="B243"/>
      <c r="C243"/>
      <c r="D243"/>
      <c r="E243"/>
    </row>
    <row r="244" spans="1:5" s="4" customFormat="1">
      <c r="A244"/>
      <c r="B244"/>
      <c r="C244"/>
      <c r="D244"/>
      <c r="E244"/>
    </row>
    <row r="245" spans="1:5" s="4" customFormat="1">
      <c r="A245"/>
      <c r="B245"/>
      <c r="C245"/>
      <c r="D245"/>
      <c r="E245"/>
    </row>
    <row r="246" spans="1:5" s="4" customFormat="1">
      <c r="A246"/>
      <c r="B246"/>
      <c r="C246"/>
      <c r="D246"/>
      <c r="E246"/>
    </row>
    <row r="247" spans="1:5" s="4" customFormat="1">
      <c r="A247"/>
      <c r="B247"/>
      <c r="C247"/>
      <c r="D247"/>
      <c r="E247"/>
    </row>
    <row r="248" spans="1:5" s="4" customFormat="1">
      <c r="A248"/>
      <c r="B248"/>
      <c r="C248"/>
      <c r="D248"/>
      <c r="E248"/>
    </row>
    <row r="249" spans="1:5" s="4" customFormat="1">
      <c r="A249"/>
      <c r="B249"/>
      <c r="C249"/>
      <c r="D249"/>
      <c r="E249"/>
    </row>
    <row r="250" spans="1:5" s="4" customFormat="1">
      <c r="A250"/>
      <c r="B250"/>
      <c r="C250"/>
      <c r="D250"/>
      <c r="E250"/>
    </row>
    <row r="251" spans="1:5" s="4" customFormat="1">
      <c r="A251"/>
      <c r="B251"/>
      <c r="C251"/>
      <c r="D251"/>
      <c r="E251"/>
    </row>
    <row r="252" spans="1:5" s="4" customFormat="1">
      <c r="A252"/>
      <c r="B252"/>
      <c r="C252"/>
      <c r="D252"/>
      <c r="E252"/>
    </row>
    <row r="253" spans="1:5" s="4" customFormat="1">
      <c r="A253"/>
      <c r="B253"/>
      <c r="C253"/>
      <c r="D253"/>
      <c r="E253"/>
    </row>
    <row r="254" spans="1:5" s="4" customFormat="1">
      <c r="A254"/>
      <c r="B254"/>
      <c r="C254"/>
      <c r="D254"/>
      <c r="E254"/>
    </row>
    <row r="255" spans="1:5" s="4" customFormat="1">
      <c r="A255"/>
      <c r="B255"/>
      <c r="C255"/>
      <c r="D255"/>
      <c r="E255"/>
    </row>
    <row r="256" spans="1:5" s="4" customFormat="1">
      <c r="A256"/>
      <c r="B256"/>
      <c r="C256"/>
      <c r="D256"/>
      <c r="E256"/>
    </row>
    <row r="257" spans="1:5" s="4" customFormat="1">
      <c r="A257"/>
      <c r="B257"/>
      <c r="C257"/>
      <c r="D257"/>
      <c r="E257"/>
    </row>
    <row r="258" spans="1:5" s="4" customFormat="1">
      <c r="A258"/>
      <c r="B258"/>
      <c r="C258"/>
      <c r="D258"/>
      <c r="E258"/>
    </row>
    <row r="259" spans="1:5" s="4" customFormat="1">
      <c r="A259"/>
      <c r="B259"/>
      <c r="C259"/>
      <c r="D259"/>
      <c r="E259"/>
    </row>
    <row r="260" spans="1:5" s="4" customFormat="1">
      <c r="A260"/>
      <c r="B260"/>
      <c r="C260"/>
      <c r="D260"/>
      <c r="E260"/>
    </row>
    <row r="261" spans="1:5" s="4" customFormat="1">
      <c r="A261"/>
      <c r="B261"/>
      <c r="C261"/>
      <c r="D261"/>
      <c r="E261"/>
    </row>
    <row r="262" spans="1:5" s="4" customFormat="1">
      <c r="A262"/>
      <c r="B262"/>
      <c r="C262"/>
      <c r="D262"/>
      <c r="E262"/>
    </row>
    <row r="263" spans="1:5" s="4" customFormat="1">
      <c r="A263"/>
      <c r="B263"/>
      <c r="C263"/>
      <c r="D263"/>
      <c r="E263"/>
    </row>
    <row r="264" spans="1:5" s="4" customFormat="1">
      <c r="A264"/>
      <c r="B264"/>
      <c r="C264"/>
      <c r="D264"/>
      <c r="E264"/>
    </row>
    <row r="265" spans="1:5" s="4" customFormat="1">
      <c r="A265"/>
      <c r="B265"/>
      <c r="C265"/>
      <c r="D265"/>
      <c r="E265"/>
    </row>
    <row r="266" spans="1:5" s="4" customFormat="1">
      <c r="A266"/>
      <c r="B266"/>
      <c r="C266"/>
      <c r="D266"/>
      <c r="E266"/>
    </row>
    <row r="267" spans="1:5" s="4" customFormat="1">
      <c r="A267"/>
      <c r="B267"/>
      <c r="C267"/>
      <c r="D267"/>
      <c r="E267"/>
    </row>
    <row r="268" spans="1:5" s="4" customFormat="1">
      <c r="A268"/>
      <c r="B268"/>
      <c r="C268"/>
      <c r="D268"/>
      <c r="E268"/>
    </row>
    <row r="269" spans="1:5" s="4" customFormat="1">
      <c r="A269"/>
      <c r="B269"/>
      <c r="C269"/>
      <c r="D269"/>
      <c r="E269"/>
    </row>
    <row r="270" spans="1:5" s="4" customFormat="1">
      <c r="A270"/>
      <c r="B270"/>
      <c r="C270"/>
      <c r="D270"/>
      <c r="E270"/>
    </row>
    <row r="271" spans="1:5" s="4" customFormat="1">
      <c r="A271"/>
      <c r="B271"/>
      <c r="C271"/>
      <c r="D271"/>
      <c r="E271"/>
    </row>
    <row r="272" spans="1:5" s="4" customFormat="1">
      <c r="A272"/>
      <c r="B272"/>
      <c r="C272"/>
      <c r="D272"/>
      <c r="E272"/>
    </row>
    <row r="273" spans="1:5" s="4" customFormat="1">
      <c r="A273"/>
      <c r="B273"/>
      <c r="C273"/>
      <c r="D273"/>
      <c r="E273"/>
    </row>
    <row r="274" spans="1:5" s="4" customFormat="1">
      <c r="A274"/>
      <c r="B274"/>
      <c r="C274"/>
      <c r="D274"/>
      <c r="E274"/>
    </row>
    <row r="275" spans="1:5" s="4" customFormat="1">
      <c r="A275"/>
      <c r="B275"/>
      <c r="C275"/>
      <c r="D275"/>
      <c r="E275"/>
    </row>
    <row r="276" spans="1:5" s="4" customFormat="1">
      <c r="A276"/>
      <c r="B276"/>
      <c r="C276"/>
      <c r="D276"/>
      <c r="E276"/>
    </row>
    <row r="277" spans="1:5" s="4" customFormat="1">
      <c r="A277"/>
      <c r="B277"/>
      <c r="C277"/>
      <c r="D277"/>
      <c r="E277"/>
    </row>
    <row r="278" spans="1:5" s="4" customFormat="1">
      <c r="A278"/>
      <c r="B278"/>
      <c r="C278"/>
      <c r="D278"/>
      <c r="E278"/>
    </row>
    <row r="279" spans="1:5" s="4" customFormat="1">
      <c r="A279"/>
      <c r="B279"/>
      <c r="C279"/>
      <c r="D279"/>
      <c r="E279"/>
    </row>
    <row r="280" spans="1:5" s="4" customFormat="1">
      <c r="A280"/>
      <c r="B280"/>
      <c r="C280"/>
      <c r="D280"/>
      <c r="E280"/>
    </row>
    <row r="281" spans="1:5" s="4" customFormat="1">
      <c r="A281"/>
      <c r="B281"/>
      <c r="C281"/>
      <c r="D281"/>
      <c r="E281"/>
    </row>
    <row r="282" spans="1:5" s="4" customFormat="1">
      <c r="A282"/>
      <c r="B282"/>
      <c r="C282"/>
      <c r="D282"/>
      <c r="E282"/>
    </row>
    <row r="283" spans="1:5" s="4" customFormat="1">
      <c r="A283"/>
      <c r="B283"/>
      <c r="C283"/>
      <c r="D283"/>
      <c r="E283"/>
    </row>
    <row r="284" spans="1:5" s="4" customFormat="1">
      <c r="A284"/>
      <c r="B284"/>
      <c r="C284"/>
      <c r="D284"/>
      <c r="E284"/>
    </row>
    <row r="285" spans="1:5" s="4" customFormat="1">
      <c r="A285"/>
      <c r="B285"/>
      <c r="C285"/>
      <c r="D285"/>
      <c r="E285"/>
    </row>
    <row r="286" spans="1:5" s="4" customFormat="1">
      <c r="A286"/>
      <c r="B286"/>
      <c r="C286"/>
      <c r="D286"/>
      <c r="E286"/>
    </row>
    <row r="287" spans="1:5" s="4" customFormat="1">
      <c r="A287"/>
      <c r="B287"/>
      <c r="C287"/>
      <c r="D287"/>
      <c r="E287"/>
    </row>
    <row r="288" spans="1:5" s="4" customFormat="1">
      <c r="A288"/>
      <c r="B288"/>
      <c r="C288"/>
      <c r="D288"/>
      <c r="E288"/>
    </row>
    <row r="289" spans="1:5" s="4" customFormat="1">
      <c r="A289"/>
      <c r="B289"/>
      <c r="C289"/>
      <c r="D289"/>
      <c r="E289"/>
    </row>
    <row r="290" spans="1:5" s="4" customFormat="1">
      <c r="A290"/>
      <c r="B290"/>
      <c r="C290"/>
      <c r="D290"/>
      <c r="E290"/>
    </row>
    <row r="291" spans="1:5" s="4" customFormat="1">
      <c r="A291"/>
      <c r="B291"/>
      <c r="C291"/>
      <c r="D291"/>
      <c r="E291"/>
    </row>
    <row r="292" spans="1:5" s="4" customFormat="1">
      <c r="A292"/>
      <c r="B292"/>
      <c r="C292"/>
      <c r="D292"/>
      <c r="E292"/>
    </row>
    <row r="293" spans="1:5" s="4" customFormat="1">
      <c r="A293"/>
      <c r="B293"/>
      <c r="C293"/>
      <c r="D293"/>
      <c r="E293"/>
    </row>
    <row r="294" spans="1:5" s="4" customFormat="1">
      <c r="A294"/>
      <c r="B294"/>
      <c r="C294"/>
      <c r="D294"/>
      <c r="E294"/>
    </row>
    <row r="295" spans="1:5" s="4" customFormat="1">
      <c r="A295"/>
      <c r="B295"/>
      <c r="C295"/>
      <c r="D295"/>
      <c r="E295"/>
    </row>
    <row r="296" spans="1:5" s="4" customFormat="1">
      <c r="A296"/>
      <c r="B296"/>
      <c r="C296"/>
      <c r="D296"/>
      <c r="E296"/>
    </row>
    <row r="297" spans="1:5" s="4" customFormat="1">
      <c r="A297"/>
      <c r="B297"/>
      <c r="C297"/>
      <c r="D297"/>
      <c r="E297"/>
    </row>
    <row r="298" spans="1:5" s="4" customFormat="1">
      <c r="A298"/>
      <c r="B298"/>
      <c r="C298"/>
      <c r="D298"/>
      <c r="E298"/>
    </row>
    <row r="299" spans="1:5" s="4" customFormat="1">
      <c r="A299"/>
      <c r="B299"/>
      <c r="C299"/>
      <c r="D299"/>
      <c r="E299"/>
    </row>
    <row r="300" spans="1:5" s="4" customFormat="1">
      <c r="A300"/>
      <c r="B300"/>
      <c r="C300"/>
      <c r="D300"/>
      <c r="E300"/>
    </row>
    <row r="301" spans="1:5" s="4" customFormat="1">
      <c r="A301"/>
      <c r="B301"/>
      <c r="C301"/>
      <c r="D301"/>
      <c r="E301"/>
    </row>
    <row r="302" spans="1:5" s="4" customFormat="1">
      <c r="A302"/>
      <c r="B302"/>
      <c r="C302"/>
      <c r="D302"/>
      <c r="E302"/>
    </row>
    <row r="303" spans="1:5" s="4" customFormat="1">
      <c r="A303"/>
      <c r="B303"/>
      <c r="C303"/>
      <c r="D303"/>
      <c r="E303"/>
    </row>
    <row r="304" spans="1:5" s="4" customFormat="1">
      <c r="A304"/>
      <c r="B304"/>
      <c r="C304"/>
      <c r="D304"/>
      <c r="E304"/>
    </row>
    <row r="305" spans="1:5" s="4" customFormat="1">
      <c r="A305"/>
      <c r="B305"/>
      <c r="C305"/>
      <c r="D305"/>
      <c r="E305"/>
    </row>
    <row r="306" spans="1:5" s="4" customFormat="1">
      <c r="A306"/>
      <c r="B306"/>
      <c r="C306"/>
      <c r="D306"/>
      <c r="E306"/>
    </row>
    <row r="307" spans="1:5" s="4" customFormat="1">
      <c r="A307"/>
      <c r="B307"/>
      <c r="C307"/>
      <c r="D307"/>
      <c r="E307"/>
    </row>
    <row r="308" spans="1:5" s="4" customFormat="1">
      <c r="A308"/>
      <c r="B308"/>
      <c r="C308"/>
      <c r="D308"/>
      <c r="E308"/>
    </row>
    <row r="309" spans="1:5" s="4" customFormat="1">
      <c r="A309"/>
      <c r="B309"/>
      <c r="C309"/>
      <c r="D309"/>
      <c r="E309"/>
    </row>
    <row r="310" spans="1:5" s="4" customFormat="1">
      <c r="A310"/>
      <c r="B310"/>
      <c r="C310"/>
      <c r="D310"/>
      <c r="E310"/>
    </row>
    <row r="311" spans="1:5" s="4" customFormat="1">
      <c r="A311"/>
      <c r="B311"/>
      <c r="C311"/>
      <c r="D311"/>
      <c r="E311"/>
    </row>
    <row r="312" spans="1:5" s="4" customFormat="1">
      <c r="A312"/>
      <c r="B312"/>
      <c r="C312"/>
      <c r="D312"/>
      <c r="E312"/>
    </row>
    <row r="313" spans="1:5" s="4" customFormat="1">
      <c r="A313"/>
      <c r="B313"/>
      <c r="C313"/>
      <c r="D313"/>
      <c r="E313"/>
    </row>
    <row r="314" spans="1:5" s="4" customFormat="1">
      <c r="A314"/>
      <c r="B314"/>
      <c r="C314"/>
      <c r="D314"/>
      <c r="E314"/>
    </row>
    <row r="315" spans="1:5" s="4" customFormat="1">
      <c r="A315"/>
      <c r="B315"/>
      <c r="C315"/>
      <c r="D315"/>
      <c r="E315"/>
    </row>
    <row r="316" spans="1:5" s="4" customFormat="1">
      <c r="A316"/>
      <c r="B316"/>
      <c r="C316"/>
      <c r="D316"/>
      <c r="E316"/>
    </row>
    <row r="317" spans="1:5" s="4" customFormat="1">
      <c r="A317"/>
      <c r="B317"/>
      <c r="C317"/>
      <c r="D317"/>
      <c r="E317"/>
    </row>
    <row r="318" spans="1:5" s="4" customFormat="1">
      <c r="A318"/>
      <c r="B318"/>
      <c r="C318"/>
      <c r="D318"/>
      <c r="E318"/>
    </row>
    <row r="319" spans="1:5" s="4" customFormat="1">
      <c r="A319"/>
      <c r="B319"/>
      <c r="C319"/>
      <c r="D319"/>
      <c r="E319"/>
    </row>
    <row r="320" spans="1:5" s="4" customFormat="1">
      <c r="A320"/>
      <c r="B320"/>
      <c r="C320"/>
      <c r="D320"/>
      <c r="E320"/>
    </row>
    <row r="321" spans="1:5" s="4" customFormat="1">
      <c r="A321"/>
      <c r="B321"/>
      <c r="C321"/>
      <c r="D321"/>
      <c r="E321"/>
    </row>
    <row r="322" spans="1:5" s="4" customFormat="1">
      <c r="A322"/>
      <c r="B322"/>
      <c r="C322"/>
      <c r="D322"/>
      <c r="E322"/>
    </row>
    <row r="323" spans="1:5" s="4" customFormat="1">
      <c r="A323"/>
      <c r="B323"/>
      <c r="C323"/>
      <c r="D323"/>
      <c r="E323"/>
    </row>
    <row r="324" spans="1:5" s="4" customFormat="1">
      <c r="A324"/>
      <c r="B324"/>
      <c r="C324"/>
      <c r="D324"/>
      <c r="E324"/>
    </row>
    <row r="325" spans="1:5" s="4" customFormat="1">
      <c r="A325"/>
      <c r="B325"/>
      <c r="C325"/>
      <c r="D325"/>
      <c r="E325"/>
    </row>
    <row r="326" spans="1:5" s="4" customFormat="1">
      <c r="A326"/>
      <c r="B326"/>
      <c r="C326"/>
      <c r="D326"/>
      <c r="E326"/>
    </row>
    <row r="327" spans="1:5" s="4" customFormat="1">
      <c r="A327"/>
      <c r="B327"/>
      <c r="C327"/>
      <c r="D327"/>
      <c r="E327"/>
    </row>
    <row r="328" spans="1:5" s="4" customFormat="1">
      <c r="A328"/>
      <c r="B328"/>
      <c r="C328"/>
      <c r="D328"/>
      <c r="E328"/>
    </row>
    <row r="329" spans="1:5" s="4" customFormat="1">
      <c r="A329"/>
      <c r="B329"/>
      <c r="C329"/>
      <c r="D329"/>
      <c r="E329"/>
    </row>
    <row r="330" spans="1:5" s="4" customFormat="1">
      <c r="A330"/>
      <c r="B330"/>
      <c r="C330"/>
      <c r="D330"/>
      <c r="E330"/>
    </row>
    <row r="331" spans="1:5" s="4" customFormat="1">
      <c r="A331"/>
      <c r="B331"/>
      <c r="C331"/>
      <c r="D331"/>
      <c r="E331"/>
    </row>
    <row r="332" spans="1:5" s="4" customFormat="1">
      <c r="A332"/>
      <c r="B332"/>
      <c r="C332"/>
      <c r="D332"/>
      <c r="E332"/>
    </row>
    <row r="333" spans="1:5" s="4" customFormat="1">
      <c r="A333"/>
      <c r="B333"/>
      <c r="C333"/>
      <c r="D333"/>
      <c r="E333"/>
    </row>
    <row r="334" spans="1:5" s="4" customFormat="1">
      <c r="A334"/>
      <c r="B334"/>
      <c r="C334"/>
      <c r="D334"/>
      <c r="E334"/>
    </row>
    <row r="335" spans="1:5" s="4" customFormat="1">
      <c r="A335"/>
      <c r="B335"/>
      <c r="C335"/>
      <c r="D335"/>
      <c r="E335"/>
    </row>
    <row r="336" spans="1:5" s="4" customFormat="1">
      <c r="A336"/>
      <c r="B336"/>
      <c r="C336"/>
      <c r="D336"/>
      <c r="E336"/>
    </row>
    <row r="337" spans="1:5" s="4" customFormat="1">
      <c r="A337"/>
      <c r="B337"/>
      <c r="C337"/>
      <c r="D337"/>
      <c r="E337"/>
    </row>
    <row r="338" spans="1:5" s="4" customFormat="1">
      <c r="A338"/>
      <c r="B338"/>
      <c r="C338"/>
      <c r="D338"/>
      <c r="E338"/>
    </row>
    <row r="339" spans="1:5" s="4" customFormat="1">
      <c r="A339"/>
      <c r="B339"/>
      <c r="C339"/>
      <c r="D339"/>
      <c r="E339"/>
    </row>
    <row r="340" spans="1:5" s="4" customFormat="1">
      <c r="A340"/>
      <c r="B340"/>
      <c r="C340"/>
      <c r="D340"/>
      <c r="E340"/>
    </row>
    <row r="341" spans="1:5" s="4" customFormat="1">
      <c r="A341"/>
      <c r="B341"/>
      <c r="C341"/>
      <c r="D341"/>
      <c r="E341"/>
    </row>
    <row r="342" spans="1:5" s="4" customFormat="1">
      <c r="A342"/>
      <c r="B342"/>
      <c r="C342"/>
      <c r="D342"/>
      <c r="E342"/>
    </row>
    <row r="343" spans="1:5" s="4" customFormat="1">
      <c r="A343"/>
      <c r="B343"/>
      <c r="C343"/>
      <c r="D343"/>
      <c r="E343"/>
    </row>
    <row r="344" spans="1:5" s="4" customFormat="1">
      <c r="A344"/>
      <c r="B344"/>
      <c r="C344"/>
      <c r="D344"/>
      <c r="E344"/>
    </row>
    <row r="345" spans="1:5" s="4" customFormat="1">
      <c r="A345"/>
      <c r="B345"/>
      <c r="C345"/>
      <c r="D345"/>
      <c r="E345"/>
    </row>
    <row r="346" spans="1:5" s="4" customFormat="1">
      <c r="A346"/>
      <c r="B346"/>
      <c r="C346"/>
      <c r="D346"/>
      <c r="E346"/>
    </row>
    <row r="347" spans="1:5" s="4" customFormat="1">
      <c r="A347"/>
      <c r="B347"/>
      <c r="C347"/>
      <c r="D347"/>
      <c r="E347"/>
    </row>
    <row r="348" spans="1:5" s="4" customFormat="1">
      <c r="A348"/>
      <c r="B348"/>
      <c r="C348"/>
      <c r="D348"/>
      <c r="E348"/>
    </row>
    <row r="349" spans="1:5" s="4" customFormat="1">
      <c r="A349"/>
      <c r="B349"/>
      <c r="C349"/>
      <c r="D349"/>
      <c r="E349"/>
    </row>
    <row r="350" spans="1:5" s="4" customFormat="1">
      <c r="A350"/>
      <c r="B350"/>
      <c r="C350"/>
      <c r="D350"/>
      <c r="E350"/>
    </row>
    <row r="351" spans="1:5" s="4" customFormat="1">
      <c r="A351"/>
      <c r="B351"/>
      <c r="C351"/>
      <c r="D351"/>
      <c r="E351"/>
    </row>
    <row r="352" spans="1:5" s="4" customFormat="1">
      <c r="A352"/>
      <c r="B352"/>
      <c r="C352"/>
      <c r="D352"/>
      <c r="E352"/>
    </row>
    <row r="353" spans="1:5" s="4" customFormat="1">
      <c r="A353"/>
      <c r="B353"/>
      <c r="C353"/>
      <c r="D353"/>
      <c r="E353"/>
    </row>
    <row r="354" spans="1:5" s="4" customFormat="1">
      <c r="A354"/>
      <c r="B354"/>
      <c r="C354"/>
      <c r="D354"/>
      <c r="E354"/>
    </row>
    <row r="355" spans="1:5" s="4" customFormat="1">
      <c r="A355"/>
      <c r="B355"/>
      <c r="C355"/>
      <c r="D355"/>
      <c r="E355"/>
    </row>
    <row r="356" spans="1:5" s="4" customFormat="1">
      <c r="A356"/>
      <c r="B356"/>
      <c r="C356"/>
      <c r="D356"/>
      <c r="E356"/>
    </row>
    <row r="357" spans="1:5" s="4" customFormat="1">
      <c r="A357"/>
      <c r="B357"/>
      <c r="C357"/>
      <c r="D357"/>
      <c r="E357"/>
    </row>
    <row r="358" spans="1:5" s="4" customFormat="1">
      <c r="A358"/>
      <c r="B358"/>
      <c r="C358"/>
      <c r="D358"/>
      <c r="E358"/>
    </row>
    <row r="359" spans="1:5" s="4" customFormat="1">
      <c r="A359"/>
      <c r="B359"/>
      <c r="C359"/>
      <c r="D359"/>
      <c r="E359"/>
    </row>
    <row r="360" spans="1:5" s="4" customFormat="1">
      <c r="A360"/>
      <c r="B360"/>
      <c r="C360"/>
      <c r="D360"/>
      <c r="E360"/>
    </row>
    <row r="361" spans="1:5" s="4" customFormat="1">
      <c r="A361"/>
      <c r="B361"/>
      <c r="C361"/>
      <c r="D361"/>
      <c r="E361"/>
    </row>
    <row r="362" spans="1:5" s="4" customFormat="1">
      <c r="A362"/>
      <c r="B362"/>
      <c r="C362"/>
      <c r="D362"/>
      <c r="E362"/>
    </row>
    <row r="363" spans="1:5" s="4" customFormat="1">
      <c r="A363"/>
      <c r="B363"/>
      <c r="C363"/>
      <c r="D363"/>
      <c r="E363"/>
    </row>
    <row r="364" spans="1:5" s="4" customFormat="1">
      <c r="A364"/>
      <c r="B364"/>
      <c r="C364"/>
      <c r="D364"/>
      <c r="E364"/>
    </row>
    <row r="365" spans="1:5" s="4" customFormat="1">
      <c r="A365"/>
      <c r="B365"/>
      <c r="C365"/>
      <c r="D365"/>
      <c r="E365"/>
    </row>
    <row r="366" spans="1:5" s="4" customFormat="1">
      <c r="A366"/>
      <c r="B366"/>
      <c r="C366"/>
      <c r="D366"/>
      <c r="E366"/>
    </row>
    <row r="367" spans="1:5" s="4" customFormat="1">
      <c r="A367"/>
      <c r="B367"/>
      <c r="C367"/>
      <c r="D367"/>
      <c r="E367"/>
    </row>
    <row r="368" spans="1:5" s="4" customFormat="1">
      <c r="A368"/>
      <c r="B368"/>
      <c r="C368"/>
      <c r="D368"/>
      <c r="E368"/>
    </row>
    <row r="369" spans="1:5" s="4" customFormat="1">
      <c r="A369"/>
      <c r="B369"/>
      <c r="C369"/>
      <c r="D369"/>
      <c r="E369"/>
    </row>
    <row r="370" spans="1:5" s="4" customFormat="1">
      <c r="A370"/>
      <c r="B370"/>
      <c r="C370"/>
      <c r="D370"/>
      <c r="E370"/>
    </row>
    <row r="371" spans="1:5" s="4" customFormat="1">
      <c r="A371"/>
      <c r="B371"/>
      <c r="C371"/>
      <c r="D371"/>
      <c r="E371"/>
    </row>
    <row r="372" spans="1:5" s="4" customFormat="1">
      <c r="A372"/>
      <c r="B372"/>
      <c r="C372"/>
      <c r="D372"/>
      <c r="E372"/>
    </row>
    <row r="373" spans="1:5" s="4" customFormat="1">
      <c r="A373"/>
      <c r="B373"/>
      <c r="C373"/>
      <c r="D373"/>
      <c r="E373"/>
    </row>
    <row r="374" spans="1:5" s="4" customFormat="1">
      <c r="A374"/>
      <c r="B374"/>
      <c r="C374"/>
      <c r="D374"/>
      <c r="E374"/>
    </row>
    <row r="375" spans="1:5" s="4" customFormat="1">
      <c r="A375"/>
      <c r="B375"/>
      <c r="C375"/>
      <c r="D375"/>
      <c r="E375"/>
    </row>
    <row r="376" spans="1:5" s="4" customFormat="1">
      <c r="A376"/>
      <c r="B376"/>
      <c r="C376"/>
      <c r="D376"/>
      <c r="E376"/>
    </row>
    <row r="377" spans="1:5" s="4" customFormat="1">
      <c r="A377"/>
      <c r="B377"/>
      <c r="C377"/>
      <c r="D377"/>
      <c r="E377"/>
    </row>
    <row r="378" spans="1:5" s="4" customFormat="1">
      <c r="A378"/>
      <c r="B378"/>
      <c r="C378"/>
      <c r="D378"/>
      <c r="E378"/>
    </row>
    <row r="379" spans="1:5" s="4" customFormat="1">
      <c r="A379"/>
      <c r="B379"/>
      <c r="C379"/>
      <c r="D379"/>
      <c r="E379"/>
    </row>
    <row r="380" spans="1:5" s="4" customFormat="1">
      <c r="A380"/>
      <c r="B380"/>
      <c r="C380"/>
      <c r="D380"/>
      <c r="E380"/>
    </row>
    <row r="381" spans="1:5" s="4" customFormat="1">
      <c r="A381"/>
      <c r="B381"/>
      <c r="C381"/>
      <c r="D381"/>
      <c r="E381"/>
    </row>
    <row r="382" spans="1:5" s="4" customFormat="1">
      <c r="A382"/>
      <c r="B382"/>
      <c r="C382"/>
      <c r="D382"/>
      <c r="E382"/>
    </row>
    <row r="383" spans="1:5" s="4" customFormat="1">
      <c r="A383"/>
      <c r="B383"/>
      <c r="C383"/>
      <c r="D383"/>
      <c r="E383"/>
    </row>
    <row r="384" spans="1:5" s="4" customFormat="1">
      <c r="A384"/>
      <c r="B384"/>
      <c r="C384"/>
      <c r="D384"/>
      <c r="E384"/>
    </row>
    <row r="385" spans="1:5" s="4" customFormat="1">
      <c r="A385"/>
      <c r="B385"/>
      <c r="C385"/>
      <c r="D385"/>
      <c r="E385"/>
    </row>
    <row r="386" spans="1:5" s="4" customFormat="1">
      <c r="A386"/>
      <c r="B386"/>
      <c r="C386"/>
      <c r="D386"/>
      <c r="E386"/>
    </row>
    <row r="387" spans="1:5" s="4" customFormat="1">
      <c r="A387"/>
      <c r="B387"/>
      <c r="C387"/>
      <c r="D387"/>
      <c r="E387"/>
    </row>
    <row r="388" spans="1:5" s="4" customFormat="1">
      <c r="A388"/>
      <c r="B388"/>
      <c r="C388"/>
      <c r="D388"/>
      <c r="E388"/>
    </row>
    <row r="389" spans="1:5" s="4" customFormat="1">
      <c r="A389"/>
      <c r="B389"/>
      <c r="C389"/>
      <c r="D389"/>
      <c r="E389"/>
    </row>
    <row r="390" spans="1:5" s="4" customFormat="1">
      <c r="A390"/>
      <c r="B390"/>
      <c r="C390"/>
      <c r="D390"/>
      <c r="E390"/>
    </row>
    <row r="391" spans="1:5" s="4" customFormat="1">
      <c r="A391"/>
      <c r="B391"/>
      <c r="C391"/>
      <c r="D391"/>
      <c r="E391"/>
    </row>
    <row r="392" spans="1:5" s="4" customFormat="1">
      <c r="A392"/>
      <c r="B392"/>
      <c r="C392"/>
      <c r="D392"/>
      <c r="E392"/>
    </row>
    <row r="393" spans="1:5" s="4" customFormat="1">
      <c r="A393"/>
      <c r="B393"/>
      <c r="C393"/>
      <c r="D393"/>
      <c r="E393"/>
    </row>
    <row r="394" spans="1:5" s="4" customFormat="1">
      <c r="A394"/>
      <c r="B394"/>
      <c r="C394"/>
      <c r="D394"/>
      <c r="E394"/>
    </row>
    <row r="395" spans="1:5" s="4" customFormat="1">
      <c r="A395"/>
      <c r="B395"/>
      <c r="C395"/>
      <c r="D395"/>
      <c r="E395"/>
    </row>
    <row r="396" spans="1:5" s="4" customFormat="1">
      <c r="A396"/>
      <c r="B396"/>
      <c r="C396"/>
      <c r="D396"/>
      <c r="E396"/>
    </row>
    <row r="397" spans="1:5" s="4" customFormat="1">
      <c r="A397"/>
      <c r="B397"/>
      <c r="C397"/>
      <c r="D397"/>
      <c r="E397"/>
    </row>
    <row r="398" spans="1:5" s="4" customFormat="1">
      <c r="A398"/>
      <c r="B398"/>
      <c r="C398"/>
      <c r="D398"/>
      <c r="E398"/>
    </row>
    <row r="399" spans="1:5" s="4" customFormat="1">
      <c r="A399"/>
      <c r="B399"/>
      <c r="C399"/>
      <c r="D399"/>
      <c r="E399"/>
    </row>
    <row r="400" spans="1:5" s="4" customFormat="1">
      <c r="A400"/>
      <c r="B400"/>
      <c r="C400"/>
      <c r="D400"/>
      <c r="E400"/>
    </row>
    <row r="401" spans="1:5" s="4" customFormat="1">
      <c r="A401"/>
      <c r="B401"/>
      <c r="C401"/>
      <c r="D401"/>
      <c r="E401"/>
    </row>
    <row r="402" spans="1:5" s="4" customFormat="1">
      <c r="A402"/>
      <c r="B402"/>
      <c r="C402"/>
      <c r="D402"/>
      <c r="E402"/>
    </row>
    <row r="403" spans="1:5" s="4" customFormat="1">
      <c r="A403"/>
      <c r="B403"/>
      <c r="C403"/>
      <c r="D403"/>
      <c r="E403"/>
    </row>
    <row r="404" spans="1:5" s="4" customFormat="1">
      <c r="A404"/>
      <c r="B404"/>
      <c r="C404"/>
      <c r="D404"/>
      <c r="E404"/>
    </row>
    <row r="405" spans="1:5" s="4" customFormat="1">
      <c r="A405"/>
      <c r="B405"/>
      <c r="C405"/>
      <c r="D405"/>
      <c r="E405"/>
    </row>
    <row r="406" spans="1:5" s="4" customFormat="1">
      <c r="A406"/>
      <c r="B406"/>
      <c r="C406"/>
      <c r="D406"/>
      <c r="E406"/>
    </row>
    <row r="407" spans="1:5" s="4" customFormat="1">
      <c r="A407"/>
      <c r="B407"/>
      <c r="C407"/>
      <c r="D407"/>
      <c r="E407"/>
    </row>
    <row r="408" spans="1:5" s="4" customFormat="1">
      <c r="A408"/>
      <c r="B408"/>
      <c r="C408"/>
      <c r="D408"/>
      <c r="E408"/>
    </row>
    <row r="409" spans="1:5" s="4" customFormat="1">
      <c r="A409"/>
      <c r="B409"/>
      <c r="C409"/>
      <c r="D409"/>
      <c r="E409"/>
    </row>
    <row r="410" spans="1:5" s="4" customFormat="1">
      <c r="A410"/>
      <c r="B410"/>
      <c r="C410"/>
      <c r="D410"/>
      <c r="E410"/>
    </row>
    <row r="411" spans="1:5" s="4" customFormat="1">
      <c r="A411"/>
      <c r="B411"/>
      <c r="C411"/>
      <c r="D411"/>
      <c r="E411"/>
    </row>
    <row r="412" spans="1:5" s="4" customFormat="1">
      <c r="A412"/>
      <c r="B412"/>
      <c r="C412"/>
      <c r="D412"/>
      <c r="E412"/>
    </row>
    <row r="413" spans="1:5" s="4" customFormat="1">
      <c r="A413"/>
      <c r="B413"/>
      <c r="C413"/>
      <c r="D413"/>
      <c r="E413"/>
    </row>
    <row r="414" spans="1:5" s="4" customFormat="1">
      <c r="A414"/>
      <c r="B414"/>
      <c r="C414"/>
      <c r="D414"/>
      <c r="E414"/>
    </row>
    <row r="415" spans="1:5" s="4" customFormat="1">
      <c r="A415"/>
      <c r="B415"/>
      <c r="C415"/>
      <c r="D415"/>
      <c r="E415"/>
    </row>
    <row r="416" spans="1:5" s="4" customFormat="1">
      <c r="A416"/>
      <c r="B416"/>
      <c r="C416"/>
      <c r="D416"/>
      <c r="E416"/>
    </row>
    <row r="417" spans="1:5" s="4" customFormat="1">
      <c r="A417"/>
      <c r="B417"/>
      <c r="C417"/>
      <c r="D417"/>
      <c r="E417"/>
    </row>
    <row r="418" spans="1:5" s="4" customFormat="1">
      <c r="A418"/>
      <c r="B418"/>
      <c r="C418"/>
      <c r="D418"/>
      <c r="E418"/>
    </row>
  </sheetData>
  <customSheetViews>
    <customSheetView guid="{9228DEC1-462C-4509-8A63-E40C51979C87}" scale="75" showPageBreaks="1" showGridLines="0" hiddenRows="1" hiddenColumns="1" showRuler="0" topLeftCell="B179">
      <pane xSplit="9.435483870967742" topLeftCell="K1"/>
      <selection activeCell="C34" sqref="C34"/>
      <pageMargins left="0" right="0" top="0" bottom="0" header="0" footer="0"/>
      <pageSetup paperSize="9" orientation="portrait" horizontalDpi="4294967292" verticalDpi="0" r:id="rId1"/>
      <headerFooter alignWithMargins="0"/>
    </customSheetView>
  </customSheetViews>
  <phoneticPr fontId="0" type="noConversion"/>
  <pageMargins left="0.75" right="0.75" top="1" bottom="1" header="0.5" footer="0.5"/>
  <pageSetup paperSize="9" orientation="portrait" horizontalDpi="4294967292" verticalDpi="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IV217"/>
  <sheetViews>
    <sheetView showGridLines="0" topLeftCell="B25" zoomScale="75" workbookViewId="0">
      <selection activeCell="CN52" sqref="CN52"/>
    </sheetView>
  </sheetViews>
  <sheetFormatPr defaultColWidth="0" defaultRowHeight="12.75"/>
  <cols>
    <col min="1" max="1" width="4.85546875" hidden="1" customWidth="1"/>
    <col min="2" max="2" width="52" customWidth="1"/>
    <col min="3" max="3" width="10" customWidth="1"/>
    <col min="4" max="4" width="12.140625" customWidth="1"/>
    <col min="5" max="5" width="11.28515625" customWidth="1"/>
    <col min="6" max="32" width="9.140625" customWidth="1"/>
    <col min="33" max="33" width="12.28515625" bestFit="1" customWidth="1"/>
    <col min="34" max="34" width="7.28515625" style="80" customWidth="1"/>
    <col min="35" max="36" width="8.85546875" style="80" customWidth="1"/>
    <col min="37" max="37" width="8.85546875" style="82" customWidth="1"/>
    <col min="38" max="52" width="9.140625" customWidth="1"/>
    <col min="53" max="53" width="8.85546875" style="79" customWidth="1"/>
    <col min="54" max="54" width="9.140625" customWidth="1"/>
    <col min="55" max="55" width="8.85546875" style="79" customWidth="1"/>
    <col min="56" max="91" width="9.140625" customWidth="1"/>
    <col min="92" max="92" width="14.28515625" customWidth="1"/>
  </cols>
  <sheetData>
    <row r="1" spans="1:55" s="27" customFormat="1">
      <c r="AH1" s="80"/>
      <c r="AI1" s="80"/>
      <c r="AJ1" s="80"/>
      <c r="AK1" s="82"/>
      <c r="BA1" s="75"/>
      <c r="BC1" s="75"/>
    </row>
    <row r="2" spans="1:55" s="21" customFormat="1">
      <c r="B2" s="21" t="s">
        <v>63</v>
      </c>
      <c r="AH2" s="81"/>
      <c r="AI2" s="81"/>
      <c r="AJ2" s="81"/>
      <c r="AK2" s="83"/>
      <c r="BA2" s="76"/>
      <c r="BC2" s="76"/>
    </row>
    <row r="3" spans="1:55" s="21" customFormat="1" ht="13.5" thickBot="1">
      <c r="AH3" s="81"/>
      <c r="AI3" s="81"/>
      <c r="AJ3" s="81"/>
      <c r="AK3" s="83"/>
      <c r="BA3" s="76"/>
      <c r="BC3" s="76"/>
    </row>
    <row r="4" spans="1:55" s="1" customFormat="1" ht="13.5" thickBot="1">
      <c r="B4" s="10" t="s">
        <v>1</v>
      </c>
      <c r="C4" s="11">
        <v>589</v>
      </c>
      <c r="AH4" s="4"/>
      <c r="AI4" s="4"/>
      <c r="AJ4" s="4"/>
      <c r="AK4" s="84"/>
      <c r="BA4" s="77"/>
      <c r="BC4" s="77"/>
    </row>
    <row r="5" spans="1:55" s="1" customFormat="1" ht="13.5" thickBot="1">
      <c r="B5" s="10" t="s">
        <v>2</v>
      </c>
      <c r="C5" s="11">
        <v>94680</v>
      </c>
      <c r="AH5" s="4"/>
      <c r="AI5" s="4"/>
      <c r="AJ5" s="4"/>
      <c r="AK5" s="84"/>
      <c r="BA5" s="77"/>
      <c r="BC5" s="77"/>
    </row>
    <row r="6" spans="1:55" s="8" customFormat="1">
      <c r="A6" s="1"/>
      <c r="B6" s="10" t="s">
        <v>64</v>
      </c>
      <c r="C6" s="11">
        <v>1</v>
      </c>
      <c r="D6" s="1"/>
      <c r="E6" s="1"/>
      <c r="AH6" s="4"/>
      <c r="AI6" s="4"/>
      <c r="AJ6" s="4"/>
      <c r="AK6" s="84"/>
      <c r="BA6" s="77"/>
      <c r="BC6" s="77"/>
    </row>
    <row r="7" spans="1:55" s="8" customFormat="1">
      <c r="A7" s="1"/>
      <c r="B7" s="12" t="s">
        <v>4</v>
      </c>
      <c r="C7" s="13">
        <v>26.25</v>
      </c>
      <c r="D7" s="1"/>
      <c r="E7" s="1"/>
      <c r="AH7" s="4"/>
      <c r="AI7" s="4"/>
      <c r="AJ7" s="4"/>
      <c r="AK7" s="84"/>
      <c r="BA7" s="77"/>
      <c r="BC7" s="77"/>
    </row>
    <row r="8" spans="1:55" s="8" customFormat="1">
      <c r="A8" s="1"/>
      <c r="B8" s="14" t="s">
        <v>5</v>
      </c>
      <c r="C8" s="15">
        <v>1</v>
      </c>
      <c r="D8" s="1"/>
      <c r="E8" s="1"/>
      <c r="AH8" s="4"/>
      <c r="AI8" s="4"/>
      <c r="AJ8" s="4"/>
      <c r="AK8" s="84"/>
      <c r="BA8" s="77"/>
      <c r="BC8" s="77"/>
    </row>
    <row r="9" spans="1:55" s="8" customFormat="1">
      <c r="A9" s="1"/>
      <c r="B9" s="12" t="s">
        <v>65</v>
      </c>
      <c r="C9" s="15">
        <v>25.425000000000001</v>
      </c>
      <c r="D9" s="1"/>
      <c r="E9" s="1"/>
      <c r="AH9" s="4"/>
      <c r="AI9" s="4"/>
      <c r="AJ9" s="4"/>
      <c r="AK9" s="84"/>
      <c r="BA9" s="77"/>
      <c r="BC9" s="77"/>
    </row>
    <row r="10" spans="1:55" s="8" customFormat="1">
      <c r="A10" s="1"/>
      <c r="B10" s="14" t="s">
        <v>7</v>
      </c>
      <c r="C10" s="15">
        <v>27856</v>
      </c>
      <c r="D10" s="1"/>
      <c r="E10" s="1"/>
      <c r="AH10" s="4"/>
      <c r="AI10" s="4"/>
      <c r="AJ10" s="4"/>
      <c r="AK10" s="84"/>
      <c r="BA10" s="77"/>
      <c r="BC10" s="77"/>
    </row>
    <row r="11" spans="1:55" s="8" customFormat="1">
      <c r="A11" s="1"/>
      <c r="B11" s="14" t="s">
        <v>8</v>
      </c>
      <c r="C11" s="15">
        <v>18220</v>
      </c>
      <c r="D11" s="1"/>
      <c r="E11" s="1"/>
      <c r="AH11" s="4"/>
      <c r="AI11" s="4"/>
      <c r="AJ11" s="4"/>
      <c r="AK11" s="84"/>
      <c r="BA11" s="77"/>
      <c r="BC11" s="77"/>
    </row>
    <row r="12" spans="1:55" s="8" customFormat="1">
      <c r="A12" s="1"/>
      <c r="B12" s="14" t="s">
        <v>9</v>
      </c>
      <c r="C12" s="15">
        <v>20500</v>
      </c>
      <c r="D12" s="1"/>
      <c r="E12" s="1"/>
      <c r="AH12" s="4"/>
      <c r="AI12" s="4"/>
      <c r="AJ12" s="4"/>
      <c r="AK12" s="84"/>
      <c r="BA12" s="77"/>
      <c r="BC12" s="77"/>
    </row>
    <row r="13" spans="1:55" s="8" customFormat="1">
      <c r="A13" s="1"/>
      <c r="B13" s="14" t="s">
        <v>10</v>
      </c>
      <c r="C13" s="15">
        <v>0.93</v>
      </c>
      <c r="D13" s="1"/>
      <c r="E13" s="1"/>
      <c r="AH13" s="4"/>
      <c r="AI13" s="4"/>
      <c r="AJ13" s="4"/>
      <c r="AK13" s="84"/>
      <c r="BA13" s="77"/>
      <c r="BC13" s="77"/>
    </row>
    <row r="14" spans="1:55" s="8" customFormat="1">
      <c r="A14" s="1"/>
      <c r="B14" s="14" t="s">
        <v>11</v>
      </c>
      <c r="C14" s="15">
        <v>0.95</v>
      </c>
      <c r="D14" s="1"/>
      <c r="E14" s="1"/>
      <c r="AF14" s="28"/>
      <c r="AG14" s="28"/>
      <c r="AH14" s="4"/>
      <c r="AI14" s="4"/>
      <c r="AJ14" s="4"/>
      <c r="AK14" s="84"/>
      <c r="AL14" s="28"/>
      <c r="AM14" s="28"/>
      <c r="BA14" s="77"/>
      <c r="BC14" s="77"/>
    </row>
    <row r="15" spans="1:55" s="8" customFormat="1" ht="13.5" thickBot="1">
      <c r="A15" s="1"/>
      <c r="B15" s="16" t="s">
        <v>12</v>
      </c>
      <c r="C15" s="17">
        <v>0.95</v>
      </c>
      <c r="D15" s="1"/>
      <c r="E15" s="1"/>
      <c r="AF15" s="28"/>
      <c r="AG15" s="28"/>
      <c r="AH15" s="4"/>
      <c r="AI15" s="4"/>
      <c r="AJ15" s="4"/>
      <c r="AK15" s="84"/>
      <c r="AL15" s="28"/>
      <c r="AM15" s="28"/>
      <c r="BA15" s="77"/>
      <c r="BC15" s="77"/>
    </row>
    <row r="16" spans="1:55" s="8" customFormat="1" ht="13.5" thickBot="1">
      <c r="A16" s="1"/>
      <c r="B16" s="18" t="s">
        <v>13</v>
      </c>
      <c r="C16" s="19">
        <v>0.98</v>
      </c>
      <c r="D16" s="1"/>
      <c r="E16" s="1"/>
      <c r="AF16" s="28"/>
      <c r="AG16" s="28"/>
      <c r="AH16" s="4"/>
      <c r="AI16" s="4"/>
      <c r="AJ16" s="4"/>
      <c r="AK16" s="84"/>
      <c r="AL16" s="28"/>
      <c r="AM16" s="28"/>
      <c r="BA16" s="77"/>
      <c r="BC16" s="77"/>
    </row>
    <row r="17" spans="1:92" s="8" customFormat="1" ht="24.6" customHeight="1" thickBot="1">
      <c r="A17" s="1"/>
      <c r="B17" s="9" t="s">
        <v>66</v>
      </c>
      <c r="C17" s="20">
        <v>0.45</v>
      </c>
      <c r="D17" s="1"/>
      <c r="E17" s="1"/>
      <c r="AF17" s="28"/>
      <c r="AG17" s="28"/>
      <c r="AH17" s="4"/>
      <c r="AI17" s="4"/>
      <c r="AJ17" s="4"/>
      <c r="AK17" s="84"/>
      <c r="AL17" s="28"/>
      <c r="AM17" s="28"/>
      <c r="BA17" s="77"/>
      <c r="BC17" s="77"/>
    </row>
    <row r="18" spans="1:92" s="8" customFormat="1" ht="19.149999999999999" customHeight="1" thickBot="1">
      <c r="A18" s="1"/>
      <c r="B18" s="9" t="s">
        <v>16</v>
      </c>
      <c r="C18" s="20">
        <f>AI19/30</f>
        <v>0.88888888888881046</v>
      </c>
      <c r="D18" s="1"/>
      <c r="E18" s="1"/>
      <c r="AF18" s="28"/>
      <c r="AG18" s="28"/>
      <c r="AH18" s="4" t="s">
        <v>17</v>
      </c>
      <c r="AI18" s="4"/>
      <c r="AJ18" s="4"/>
      <c r="AK18" s="84"/>
      <c r="AL18" s="28"/>
      <c r="AM18" s="28"/>
      <c r="BA18" s="77"/>
      <c r="BC18" s="77"/>
    </row>
    <row r="19" spans="1:92" s="64" customFormat="1" ht="26.45" customHeight="1" thickBot="1">
      <c r="A19" s="63"/>
      <c r="B19" s="6" t="s">
        <v>18</v>
      </c>
      <c r="C19" s="22">
        <v>0</v>
      </c>
      <c r="D19" s="64">
        <f>C19+$C18</f>
        <v>0.88888888888881046</v>
      </c>
      <c r="E19" s="64">
        <f>D19+$C18</f>
        <v>1.7777777777776209</v>
      </c>
      <c r="F19" s="64">
        <f>E19+$C18</f>
        <v>2.6666666666664316</v>
      </c>
      <c r="G19" s="64">
        <f t="shared" ref="G19:AG19" si="0">F19+$C18</f>
        <v>3.5555555555552418</v>
      </c>
      <c r="H19" s="64">
        <f t="shared" si="0"/>
        <v>4.4444444444440521</v>
      </c>
      <c r="I19" s="64">
        <f t="shared" si="0"/>
        <v>5.3333333333328623</v>
      </c>
      <c r="J19" s="64">
        <f t="shared" si="0"/>
        <v>6.2222222222216725</v>
      </c>
      <c r="K19" s="64">
        <f t="shared" si="0"/>
        <v>7.1111111111104828</v>
      </c>
      <c r="L19" s="64">
        <f t="shared" si="0"/>
        <v>7.999999999999293</v>
      </c>
      <c r="M19" s="64">
        <f t="shared" si="0"/>
        <v>8.8888888888881041</v>
      </c>
      <c r="N19" s="64">
        <f t="shared" si="0"/>
        <v>9.7777777777769153</v>
      </c>
      <c r="O19" s="64">
        <f t="shared" si="0"/>
        <v>10.666666666665726</v>
      </c>
      <c r="P19" s="64">
        <f t="shared" si="0"/>
        <v>11.555555555554538</v>
      </c>
      <c r="Q19" s="64">
        <f t="shared" si="0"/>
        <v>12.444444444443349</v>
      </c>
      <c r="R19" s="64">
        <f t="shared" si="0"/>
        <v>13.33333333333216</v>
      </c>
      <c r="S19" s="64">
        <f t="shared" si="0"/>
        <v>14.222222222220971</v>
      </c>
      <c r="T19" s="64">
        <f t="shared" si="0"/>
        <v>15.111111111109782</v>
      </c>
      <c r="U19" s="64">
        <f t="shared" si="0"/>
        <v>15.999999999998593</v>
      </c>
      <c r="V19" s="64">
        <f t="shared" si="0"/>
        <v>16.888888888887404</v>
      </c>
      <c r="W19" s="64">
        <f t="shared" si="0"/>
        <v>17.777777777776215</v>
      </c>
      <c r="X19" s="64">
        <f t="shared" si="0"/>
        <v>18.666666666665026</v>
      </c>
      <c r="Y19" s="64">
        <f t="shared" si="0"/>
        <v>19.555555555553838</v>
      </c>
      <c r="Z19" s="64">
        <f t="shared" si="0"/>
        <v>20.444444444442649</v>
      </c>
      <c r="AA19" s="64">
        <f t="shared" si="0"/>
        <v>21.33333333333146</v>
      </c>
      <c r="AB19" s="64">
        <f t="shared" si="0"/>
        <v>22.222222222220271</v>
      </c>
      <c r="AC19" s="64">
        <f t="shared" si="0"/>
        <v>23.111111111109082</v>
      </c>
      <c r="AD19" s="64">
        <f t="shared" si="0"/>
        <v>23.999999999997893</v>
      </c>
      <c r="AE19" s="64">
        <f t="shared" si="0"/>
        <v>24.888888888886704</v>
      </c>
      <c r="AF19" s="64">
        <f t="shared" si="0"/>
        <v>25.777777777775515</v>
      </c>
      <c r="AG19" s="64">
        <f t="shared" si="0"/>
        <v>26.666666666664327</v>
      </c>
      <c r="AH19" s="64">
        <f>AJ19</f>
        <v>74.108888888888899</v>
      </c>
      <c r="AI19" s="64">
        <v>26.666666666664312</v>
      </c>
      <c r="AJ19" s="64">
        <f>D37</f>
        <v>74.108888888888899</v>
      </c>
      <c r="AK19" s="85"/>
      <c r="BA19" s="86"/>
      <c r="BC19" s="86"/>
    </row>
    <row r="20" spans="1:92" s="64" customFormat="1" ht="13.5" thickBot="1">
      <c r="A20" s="63"/>
      <c r="B20" s="6" t="s">
        <v>19</v>
      </c>
      <c r="C20" s="22">
        <v>6</v>
      </c>
      <c r="AK20" s="85"/>
      <c r="BA20" s="86"/>
      <c r="BC20" s="86"/>
    </row>
    <row r="21" spans="1:92" s="64" customFormat="1" ht="13.5" thickBot="1">
      <c r="A21" s="63"/>
      <c r="B21" s="6" t="s">
        <v>67</v>
      </c>
      <c r="C21" s="22">
        <v>4.2</v>
      </c>
      <c r="D21" s="64" t="s">
        <v>68</v>
      </c>
      <c r="AK21" s="85"/>
      <c r="BA21" s="86"/>
      <c r="BC21" s="86"/>
    </row>
    <row r="22" spans="1:92" s="64" customFormat="1">
      <c r="B22" s="65"/>
      <c r="C22" s="65">
        <v>75</v>
      </c>
    </row>
    <row r="23" spans="1:92" s="64" customFormat="1">
      <c r="B23" s="65"/>
      <c r="C23" s="65">
        <v>0</v>
      </c>
      <c r="D23" s="65">
        <f>IF(D60&gt;0,D19,0)</f>
        <v>0.88888888888881046</v>
      </c>
      <c r="E23" s="65">
        <f>IF(E60&gt;0,E19,D37)</f>
        <v>1.7777777777776209</v>
      </c>
      <c r="F23" s="64">
        <f>IF(F60&gt;0,F19,E37)</f>
        <v>2.6666666666664316</v>
      </c>
      <c r="G23" s="64">
        <f t="shared" ref="G23:AD23" si="1">IF(G60&gt;0,G19,F37)</f>
        <v>3.5555555555552418</v>
      </c>
      <c r="H23" s="64">
        <f t="shared" si="1"/>
        <v>4.4444444444440521</v>
      </c>
      <c r="I23" s="64">
        <f t="shared" si="1"/>
        <v>5.3333333333328623</v>
      </c>
      <c r="J23" s="64">
        <f t="shared" si="1"/>
        <v>6.2222222222216725</v>
      </c>
      <c r="K23" s="64">
        <f t="shared" si="1"/>
        <v>7.1111111111104828</v>
      </c>
      <c r="L23" s="64">
        <f t="shared" si="1"/>
        <v>7.999999999999293</v>
      </c>
      <c r="M23" s="64">
        <f t="shared" si="1"/>
        <v>8.8888888888881041</v>
      </c>
      <c r="N23" s="64">
        <f t="shared" si="1"/>
        <v>9.7777777777769153</v>
      </c>
      <c r="O23" s="64">
        <f t="shared" si="1"/>
        <v>10.666666666665726</v>
      </c>
      <c r="P23" s="64">
        <f t="shared" si="1"/>
        <v>11.555555555554538</v>
      </c>
      <c r="Q23" s="64">
        <f t="shared" si="1"/>
        <v>12.444444444443349</v>
      </c>
      <c r="R23" s="64">
        <f t="shared" si="1"/>
        <v>13.33333333333216</v>
      </c>
      <c r="S23" s="64">
        <f t="shared" si="1"/>
        <v>14.222222222220971</v>
      </c>
      <c r="T23" s="64">
        <f t="shared" si="1"/>
        <v>15.111111111109782</v>
      </c>
      <c r="U23" s="64">
        <f t="shared" si="1"/>
        <v>15.999999999998593</v>
      </c>
      <c r="V23" s="64">
        <f t="shared" si="1"/>
        <v>16.888888888887404</v>
      </c>
      <c r="W23" s="64">
        <f t="shared" si="1"/>
        <v>17.777777777776215</v>
      </c>
      <c r="X23" s="64">
        <f t="shared" si="1"/>
        <v>18.666666666665026</v>
      </c>
      <c r="Y23" s="64">
        <f t="shared" si="1"/>
        <v>19.555555555553838</v>
      </c>
      <c r="Z23" s="64">
        <f t="shared" si="1"/>
        <v>20.444444444442649</v>
      </c>
      <c r="AA23" s="64">
        <f t="shared" si="1"/>
        <v>21.33333333333146</v>
      </c>
      <c r="AB23" s="64">
        <f t="shared" si="1"/>
        <v>22.222222222220271</v>
      </c>
      <c r="AC23" s="64">
        <f t="shared" si="1"/>
        <v>23.111111111109082</v>
      </c>
      <c r="AD23" s="64">
        <f t="shared" si="1"/>
        <v>23.999999999997893</v>
      </c>
      <c r="AE23" s="64">
        <f>IF(AE60&gt;0,AE19,AD37)</f>
        <v>24.888888888886704</v>
      </c>
      <c r="AF23" s="64">
        <f>IF(AF60&gt;0,AF19,AE37)</f>
        <v>25.777777777775515</v>
      </c>
      <c r="AG23" s="64">
        <f>IF(AG60&gt;0,AG19,AF37)</f>
        <v>26.666666666664327</v>
      </c>
      <c r="AH23" s="64">
        <f>AG23+AG25</f>
        <v>27.555555555553138</v>
      </c>
      <c r="AI23" s="64">
        <f>$AH30+AE23</f>
        <v>98.99777777777561</v>
      </c>
      <c r="AJ23" s="64">
        <f>$AH30+AF23</f>
        <v>99.886666666664411</v>
      </c>
      <c r="AK23" s="64">
        <f>$AH30+AG23</f>
        <v>100.77555555555323</v>
      </c>
      <c r="AL23" s="64">
        <f>AK23+0.3</f>
        <v>101.07555555555322</v>
      </c>
      <c r="AM23" s="64">
        <f>AL23+$AJ28</f>
        <v>101.17555555555322</v>
      </c>
      <c r="AN23" s="64">
        <f>AM23+$AJ28</f>
        <v>101.27555555555321</v>
      </c>
      <c r="AO23" s="64">
        <f>AN23+$AJ28</f>
        <v>101.37555555555321</v>
      </c>
      <c r="AP23" s="64">
        <f>AO23+$AJ28</f>
        <v>101.4755555555532</v>
      </c>
      <c r="AQ23" s="64">
        <f t="shared" ref="AQ23:BR23" si="2">AP23+$AJ28</f>
        <v>101.57555555555319</v>
      </c>
      <c r="AR23" s="64">
        <f t="shared" si="2"/>
        <v>101.67555555555319</v>
      </c>
      <c r="AS23" s="64">
        <f t="shared" si="2"/>
        <v>101.77555555555318</v>
      </c>
      <c r="AT23" s="64">
        <f t="shared" si="2"/>
        <v>101.87555555555318</v>
      </c>
      <c r="AU23" s="64">
        <f t="shared" si="2"/>
        <v>101.97555555555317</v>
      </c>
      <c r="AV23" s="64">
        <f t="shared" si="2"/>
        <v>102.07555555555317</v>
      </c>
      <c r="AW23" s="64">
        <f t="shared" si="2"/>
        <v>102.17555555555316</v>
      </c>
      <c r="AX23" s="64">
        <f t="shared" si="2"/>
        <v>102.27555555555315</v>
      </c>
      <c r="AY23" s="64">
        <f t="shared" si="2"/>
        <v>102.37555555555315</v>
      </c>
      <c r="AZ23" s="64">
        <f t="shared" si="2"/>
        <v>102.47555555555314</v>
      </c>
      <c r="BA23" s="64">
        <f t="shared" si="2"/>
        <v>102.57555555555314</v>
      </c>
      <c r="BB23" s="64">
        <f t="shared" si="2"/>
        <v>102.67555555555313</v>
      </c>
      <c r="BC23" s="64">
        <f t="shared" si="2"/>
        <v>102.77555555555313</v>
      </c>
      <c r="BD23" s="64">
        <f t="shared" si="2"/>
        <v>102.87555555555312</v>
      </c>
      <c r="BE23" s="64">
        <f t="shared" si="2"/>
        <v>102.97555555555311</v>
      </c>
      <c r="BF23" s="64">
        <f t="shared" si="2"/>
        <v>103.07555555555311</v>
      </c>
      <c r="BG23" s="64">
        <f t="shared" si="2"/>
        <v>103.1755555555531</v>
      </c>
      <c r="BH23" s="64">
        <f t="shared" si="2"/>
        <v>103.2755555555531</v>
      </c>
      <c r="BI23" s="64">
        <f t="shared" si="2"/>
        <v>103.37555555555309</v>
      </c>
      <c r="BJ23" s="64">
        <f t="shared" si="2"/>
        <v>103.47555555555309</v>
      </c>
      <c r="BK23" s="64">
        <f t="shared" si="2"/>
        <v>103.57555555555308</v>
      </c>
      <c r="BL23" s="64">
        <f t="shared" si="2"/>
        <v>103.67555555555307</v>
      </c>
      <c r="BM23" s="64">
        <f t="shared" si="2"/>
        <v>103.77555555555307</v>
      </c>
      <c r="BN23" s="64">
        <f t="shared" si="2"/>
        <v>103.87555555555306</v>
      </c>
      <c r="BO23" s="64">
        <f t="shared" si="2"/>
        <v>103.97555555555306</v>
      </c>
      <c r="BP23" s="64">
        <f t="shared" si="2"/>
        <v>104.07555555555305</v>
      </c>
      <c r="BQ23" s="64">
        <f t="shared" si="2"/>
        <v>104.17555555555305</v>
      </c>
      <c r="BR23" s="64">
        <f t="shared" si="2"/>
        <v>104.27555555555304</v>
      </c>
      <c r="BS23" s="64">
        <f t="shared" ref="BS23:CM23" si="3">BR23+$AJ28</f>
        <v>104.37555555555303</v>
      </c>
      <c r="BT23" s="64">
        <f t="shared" si="3"/>
        <v>104.47555555555303</v>
      </c>
      <c r="BU23" s="64">
        <f t="shared" si="3"/>
        <v>104.57555555555302</v>
      </c>
      <c r="BV23" s="64">
        <f t="shared" si="3"/>
        <v>104.67555555555302</v>
      </c>
      <c r="BW23" s="64">
        <f t="shared" si="3"/>
        <v>104.77555555555301</v>
      </c>
      <c r="BX23" s="64">
        <f t="shared" si="3"/>
        <v>104.87555555555301</v>
      </c>
      <c r="BY23" s="64">
        <f t="shared" si="3"/>
        <v>104.975555555553</v>
      </c>
      <c r="BZ23" s="64">
        <f t="shared" si="3"/>
        <v>105.075555555553</v>
      </c>
      <c r="CA23" s="64">
        <f t="shared" si="3"/>
        <v>105.17555555555299</v>
      </c>
      <c r="CB23" s="64">
        <f t="shared" si="3"/>
        <v>105.27555555555298</v>
      </c>
      <c r="CC23" s="64">
        <f t="shared" si="3"/>
        <v>105.37555555555298</v>
      </c>
      <c r="CD23" s="64">
        <f t="shared" si="3"/>
        <v>105.47555555555297</v>
      </c>
      <c r="CE23" s="64">
        <f t="shared" si="3"/>
        <v>105.57555555555297</v>
      </c>
      <c r="CF23" s="64">
        <f t="shared" si="3"/>
        <v>105.67555555555296</v>
      </c>
      <c r="CG23" s="64">
        <f t="shared" si="3"/>
        <v>105.77555555555296</v>
      </c>
      <c r="CH23" s="64">
        <f t="shared" si="3"/>
        <v>105.87555555555295</v>
      </c>
      <c r="CI23" s="64">
        <f t="shared" si="3"/>
        <v>105.97555555555294</v>
      </c>
      <c r="CJ23" s="64">
        <f t="shared" si="3"/>
        <v>106.07555555555294</v>
      </c>
      <c r="CK23" s="64">
        <f t="shared" si="3"/>
        <v>106.17555555555293</v>
      </c>
      <c r="CL23" s="64">
        <f t="shared" si="3"/>
        <v>106.27555555555293</v>
      </c>
      <c r="CM23" s="64">
        <f t="shared" si="3"/>
        <v>106.37555555555292</v>
      </c>
      <c r="CN23" s="64">
        <f>$CN24+CM23</f>
        <v>111.97555555555292</v>
      </c>
    </row>
    <row r="24" spans="1:92" s="64" customFormat="1">
      <c r="C24" s="65"/>
      <c r="AL24" s="64">
        <f>$E37-SUM(AM25:CM25)</f>
        <v>-0.49999999999969891</v>
      </c>
      <c r="AM24" s="64">
        <f>AL24+AM25</f>
        <v>-0.39999999999970459</v>
      </c>
      <c r="AN24" s="64">
        <f>AM24+AN25</f>
        <v>-0.29999999999971028</v>
      </c>
      <c r="AO24" s="64">
        <f t="shared" ref="AO24:CM24" si="4">AN24+AO25</f>
        <v>-0.19999999999971596</v>
      </c>
      <c r="AP24" s="64">
        <f t="shared" si="4"/>
        <v>-9.9999999999721645E-2</v>
      </c>
      <c r="AQ24" s="64">
        <f t="shared" si="4"/>
        <v>2.7267077484793845E-13</v>
      </c>
      <c r="AR24" s="64">
        <f t="shared" si="4"/>
        <v>0.10000000000026699</v>
      </c>
      <c r="AS24" s="64">
        <f t="shared" si="4"/>
        <v>0.2000000000002613</v>
      </c>
      <c r="AT24" s="64">
        <f t="shared" si="4"/>
        <v>0.30000000000025562</v>
      </c>
      <c r="AU24" s="64">
        <f t="shared" si="4"/>
        <v>0.40000000000024993</v>
      </c>
      <c r="AV24" s="64">
        <f t="shared" si="4"/>
        <v>0.50000000000024425</v>
      </c>
      <c r="AW24" s="64">
        <f t="shared" si="4"/>
        <v>0.60000000000023856</v>
      </c>
      <c r="AX24" s="64">
        <f t="shared" si="4"/>
        <v>0.70000000000023288</v>
      </c>
      <c r="AY24" s="64">
        <f t="shared" si="4"/>
        <v>0.8000000000002272</v>
      </c>
      <c r="AZ24" s="64">
        <f t="shared" si="4"/>
        <v>0.90000000000022151</v>
      </c>
      <c r="BA24" s="64">
        <f t="shared" si="4"/>
        <v>1.0000000000002158</v>
      </c>
      <c r="BB24" s="64">
        <f t="shared" si="4"/>
        <v>1.1000000000002101</v>
      </c>
      <c r="BC24" s="64">
        <f t="shared" si="4"/>
        <v>1.2000000000002045</v>
      </c>
      <c r="BD24" s="64">
        <f t="shared" si="4"/>
        <v>1.3000000000001988</v>
      </c>
      <c r="BE24" s="64">
        <f t="shared" si="4"/>
        <v>1.4000000000001931</v>
      </c>
      <c r="BF24" s="64">
        <f t="shared" si="4"/>
        <v>1.5000000000001874</v>
      </c>
      <c r="BG24" s="64">
        <f t="shared" si="4"/>
        <v>1.6000000000001817</v>
      </c>
      <c r="BH24" s="64">
        <f t="shared" si="4"/>
        <v>1.700000000000176</v>
      </c>
      <c r="BI24" s="64">
        <f t="shared" si="4"/>
        <v>1.8000000000001704</v>
      </c>
      <c r="BJ24" s="64">
        <f t="shared" si="4"/>
        <v>1.9000000000001647</v>
      </c>
      <c r="BK24" s="64">
        <f t="shared" si="4"/>
        <v>2.000000000000159</v>
      </c>
      <c r="BL24" s="64">
        <f t="shared" si="4"/>
        <v>2.1000000000001533</v>
      </c>
      <c r="BM24" s="64">
        <f t="shared" si="4"/>
        <v>2.2000000000001476</v>
      </c>
      <c r="BN24" s="64">
        <f t="shared" si="4"/>
        <v>2.3000000000001419</v>
      </c>
      <c r="BO24" s="64">
        <f t="shared" si="4"/>
        <v>2.4000000000001362</v>
      </c>
      <c r="BP24" s="64">
        <f t="shared" si="4"/>
        <v>2.5000000000001306</v>
      </c>
      <c r="BQ24" s="64">
        <f t="shared" si="4"/>
        <v>2.6000000000001249</v>
      </c>
      <c r="BR24" s="64">
        <f t="shared" si="4"/>
        <v>2.7000000000001192</v>
      </c>
      <c r="BS24" s="64">
        <f t="shared" si="4"/>
        <v>2.8000000000001135</v>
      </c>
      <c r="BT24" s="64">
        <f t="shared" si="4"/>
        <v>2.9000000000001078</v>
      </c>
      <c r="BU24" s="64">
        <f t="shared" si="4"/>
        <v>3.0000000000001021</v>
      </c>
      <c r="BV24" s="64">
        <f t="shared" si="4"/>
        <v>3.1000000000000965</v>
      </c>
      <c r="BW24" s="64">
        <f t="shared" si="4"/>
        <v>3.2000000000000908</v>
      </c>
      <c r="BX24" s="64">
        <f t="shared" si="4"/>
        <v>3.3000000000000851</v>
      </c>
      <c r="BY24" s="64">
        <f t="shared" si="4"/>
        <v>3.4000000000000794</v>
      </c>
      <c r="BZ24" s="64">
        <f t="shared" si="4"/>
        <v>3.5000000000000737</v>
      </c>
      <c r="CA24" s="64">
        <f t="shared" si="4"/>
        <v>3.600000000000068</v>
      </c>
      <c r="CB24" s="64">
        <f t="shared" si="4"/>
        <v>3.7000000000000624</v>
      </c>
      <c r="CC24" s="64">
        <f t="shared" si="4"/>
        <v>3.8000000000000567</v>
      </c>
      <c r="CD24" s="64">
        <f t="shared" si="4"/>
        <v>3.900000000000051</v>
      </c>
      <c r="CE24" s="64">
        <f t="shared" si="4"/>
        <v>4.0000000000000453</v>
      </c>
      <c r="CF24" s="64">
        <f t="shared" si="4"/>
        <v>4.1000000000000396</v>
      </c>
      <c r="CG24" s="64">
        <f t="shared" si="4"/>
        <v>4.2000000000000339</v>
      </c>
      <c r="CH24" s="64">
        <f t="shared" si="4"/>
        <v>4.3000000000000282</v>
      </c>
      <c r="CI24" s="64">
        <f t="shared" si="4"/>
        <v>4.4000000000000226</v>
      </c>
      <c r="CJ24" s="64">
        <f t="shared" si="4"/>
        <v>4.5000000000000169</v>
      </c>
      <c r="CK24" s="64">
        <f t="shared" si="4"/>
        <v>4.6000000000000112</v>
      </c>
      <c r="CL24" s="64">
        <f t="shared" si="4"/>
        <v>4.7000000000000055</v>
      </c>
      <c r="CM24" s="64">
        <f t="shared" si="4"/>
        <v>4.8</v>
      </c>
      <c r="CN24" s="64">
        <f>$F37</f>
        <v>5.6000000000000005</v>
      </c>
    </row>
    <row r="25" spans="1:92" s="64" customFormat="1">
      <c r="C25" s="65">
        <f>0</f>
        <v>0</v>
      </c>
      <c r="D25" s="64">
        <f>D23-C23</f>
        <v>0.88888888888881046</v>
      </c>
      <c r="E25" s="64">
        <f>E23-D23</f>
        <v>0.88888888888881046</v>
      </c>
      <c r="F25" s="64">
        <f>F23-E23</f>
        <v>0.88888888888881068</v>
      </c>
      <c r="G25" s="64">
        <f t="shared" ref="G25:AG25" si="5">G23-F23</f>
        <v>0.88888888888881024</v>
      </c>
      <c r="H25" s="64">
        <f t="shared" si="5"/>
        <v>0.88888888888881024</v>
      </c>
      <c r="I25" s="64">
        <f t="shared" si="5"/>
        <v>0.88888888888881024</v>
      </c>
      <c r="J25" s="64">
        <f t="shared" si="5"/>
        <v>0.88888888888881024</v>
      </c>
      <c r="K25" s="64">
        <f t="shared" si="5"/>
        <v>0.88888888888881024</v>
      </c>
      <c r="L25" s="64">
        <f t="shared" si="5"/>
        <v>0.88888888888881024</v>
      </c>
      <c r="M25" s="64">
        <f t="shared" si="5"/>
        <v>0.88888888888881112</v>
      </c>
      <c r="N25" s="64">
        <f t="shared" si="5"/>
        <v>0.88888888888881112</v>
      </c>
      <c r="O25" s="64">
        <f t="shared" si="5"/>
        <v>0.88888888888881112</v>
      </c>
      <c r="P25" s="64">
        <f t="shared" si="5"/>
        <v>0.88888888888881112</v>
      </c>
      <c r="Q25" s="64">
        <f t="shared" si="5"/>
        <v>0.88888888888881112</v>
      </c>
      <c r="R25" s="64">
        <f t="shared" si="5"/>
        <v>0.88888888888881112</v>
      </c>
      <c r="S25" s="64">
        <f t="shared" si="5"/>
        <v>0.88888888888881112</v>
      </c>
      <c r="T25" s="64">
        <f t="shared" si="5"/>
        <v>0.88888888888881112</v>
      </c>
      <c r="U25" s="64">
        <f t="shared" si="5"/>
        <v>0.88888888888881112</v>
      </c>
      <c r="V25" s="64">
        <f t="shared" si="5"/>
        <v>0.88888888888881112</v>
      </c>
      <c r="W25" s="64">
        <f t="shared" si="5"/>
        <v>0.88888888888881112</v>
      </c>
      <c r="X25" s="64">
        <f t="shared" si="5"/>
        <v>0.88888888888881112</v>
      </c>
      <c r="Y25" s="64">
        <f t="shared" si="5"/>
        <v>0.88888888888881112</v>
      </c>
      <c r="Z25" s="64">
        <f t="shared" si="5"/>
        <v>0.88888888888881112</v>
      </c>
      <c r="AA25" s="64">
        <f t="shared" si="5"/>
        <v>0.88888888888881112</v>
      </c>
      <c r="AB25" s="64">
        <f t="shared" si="5"/>
        <v>0.88888888888881112</v>
      </c>
      <c r="AC25" s="64">
        <f t="shared" si="5"/>
        <v>0.88888888888881112</v>
      </c>
      <c r="AD25" s="64">
        <f t="shared" si="5"/>
        <v>0.88888888888881112</v>
      </c>
      <c r="AE25" s="64">
        <f t="shared" si="5"/>
        <v>0.88888888888881112</v>
      </c>
      <c r="AF25" s="64">
        <f t="shared" si="5"/>
        <v>0.88888888888881112</v>
      </c>
      <c r="AG25" s="64">
        <f t="shared" si="5"/>
        <v>0.88888888888881112</v>
      </c>
      <c r="AH25" s="64">
        <f>AH23-AG23</f>
        <v>0.88888888888881112</v>
      </c>
      <c r="AI25" s="64">
        <f>AI23-AH23</f>
        <v>71.442222222222469</v>
      </c>
      <c r="AJ25" s="64">
        <f>AJ23-AI23</f>
        <v>0.88888888888880047</v>
      </c>
      <c r="AK25" s="64">
        <f>AK23-AJ23</f>
        <v>0.88888888888881468</v>
      </c>
      <c r="AL25" s="64">
        <v>0</v>
      </c>
      <c r="AM25" s="64">
        <f>AM23-AL23</f>
        <v>9.9999999999994316E-2</v>
      </c>
      <c r="AN25" s="64">
        <f>AN23-AM23</f>
        <v>9.9999999999994316E-2</v>
      </c>
      <c r="AO25" s="64">
        <f>AO23-AN23</f>
        <v>9.9999999999994316E-2</v>
      </c>
      <c r="AP25" s="64">
        <f t="shared" ref="AP25:BO25" si="6">AP23-AO23</f>
        <v>9.9999999999994316E-2</v>
      </c>
      <c r="AQ25" s="64">
        <f t="shared" si="6"/>
        <v>9.9999999999994316E-2</v>
      </c>
      <c r="AR25" s="64">
        <f t="shared" si="6"/>
        <v>9.9999999999994316E-2</v>
      </c>
      <c r="AS25" s="64">
        <f t="shared" si="6"/>
        <v>9.9999999999994316E-2</v>
      </c>
      <c r="AT25" s="64">
        <f t="shared" si="6"/>
        <v>9.9999999999994316E-2</v>
      </c>
      <c r="AU25" s="64">
        <f t="shared" si="6"/>
        <v>9.9999999999994316E-2</v>
      </c>
      <c r="AV25" s="64">
        <f t="shared" si="6"/>
        <v>9.9999999999994316E-2</v>
      </c>
      <c r="AW25" s="64">
        <f t="shared" si="6"/>
        <v>9.9999999999994316E-2</v>
      </c>
      <c r="AX25" s="64">
        <f t="shared" si="6"/>
        <v>9.9999999999994316E-2</v>
      </c>
      <c r="AY25" s="64">
        <f t="shared" si="6"/>
        <v>9.9999999999994316E-2</v>
      </c>
      <c r="AZ25" s="64">
        <f t="shared" si="6"/>
        <v>9.9999999999994316E-2</v>
      </c>
      <c r="BA25" s="64">
        <f t="shared" si="6"/>
        <v>9.9999999999994316E-2</v>
      </c>
      <c r="BB25" s="64">
        <f t="shared" si="6"/>
        <v>9.9999999999994316E-2</v>
      </c>
      <c r="BC25" s="64">
        <f t="shared" si="6"/>
        <v>9.9999999999994316E-2</v>
      </c>
      <c r="BD25" s="64">
        <f t="shared" si="6"/>
        <v>9.9999999999994316E-2</v>
      </c>
      <c r="BE25" s="64">
        <f t="shared" si="6"/>
        <v>9.9999999999994316E-2</v>
      </c>
      <c r="BF25" s="64">
        <f t="shared" si="6"/>
        <v>9.9999999999994316E-2</v>
      </c>
      <c r="BG25" s="64">
        <f t="shared" si="6"/>
        <v>9.9999999999994316E-2</v>
      </c>
      <c r="BH25" s="64">
        <f t="shared" si="6"/>
        <v>9.9999999999994316E-2</v>
      </c>
      <c r="BI25" s="64">
        <f t="shared" si="6"/>
        <v>9.9999999999994316E-2</v>
      </c>
      <c r="BJ25" s="64">
        <f t="shared" si="6"/>
        <v>9.9999999999994316E-2</v>
      </c>
      <c r="BK25" s="64">
        <f t="shared" si="6"/>
        <v>9.9999999999994316E-2</v>
      </c>
      <c r="BL25" s="64">
        <f t="shared" si="6"/>
        <v>9.9999999999994316E-2</v>
      </c>
      <c r="BM25" s="64">
        <f t="shared" si="6"/>
        <v>9.9999999999994316E-2</v>
      </c>
      <c r="BN25" s="64">
        <f t="shared" si="6"/>
        <v>9.9999999999994316E-2</v>
      </c>
      <c r="BO25" s="64">
        <f t="shared" si="6"/>
        <v>9.9999999999994316E-2</v>
      </c>
      <c r="BP25" s="64">
        <f t="shared" ref="BP25:CN25" si="7">BP23-BO23</f>
        <v>9.9999999999994316E-2</v>
      </c>
      <c r="BQ25" s="64">
        <f t="shared" si="7"/>
        <v>9.9999999999994316E-2</v>
      </c>
      <c r="BR25" s="64">
        <f t="shared" si="7"/>
        <v>9.9999999999994316E-2</v>
      </c>
      <c r="BS25" s="64">
        <f t="shared" si="7"/>
        <v>9.9999999999994316E-2</v>
      </c>
      <c r="BT25" s="64">
        <f t="shared" si="7"/>
        <v>9.9999999999994316E-2</v>
      </c>
      <c r="BU25" s="64">
        <f t="shared" si="7"/>
        <v>9.9999999999994316E-2</v>
      </c>
      <c r="BV25" s="64">
        <f t="shared" si="7"/>
        <v>9.9999999999994316E-2</v>
      </c>
      <c r="BW25" s="64">
        <f t="shared" si="7"/>
        <v>9.9999999999994316E-2</v>
      </c>
      <c r="BX25" s="64">
        <f t="shared" si="7"/>
        <v>9.9999999999994316E-2</v>
      </c>
      <c r="BY25" s="64">
        <f t="shared" si="7"/>
        <v>9.9999999999994316E-2</v>
      </c>
      <c r="BZ25" s="64">
        <f t="shared" si="7"/>
        <v>9.9999999999994316E-2</v>
      </c>
      <c r="CA25" s="64">
        <f t="shared" si="7"/>
        <v>9.9999999999994316E-2</v>
      </c>
      <c r="CB25" s="64">
        <f t="shared" si="7"/>
        <v>9.9999999999994316E-2</v>
      </c>
      <c r="CC25" s="64">
        <f t="shared" si="7"/>
        <v>9.9999999999994316E-2</v>
      </c>
      <c r="CD25" s="64">
        <f t="shared" si="7"/>
        <v>9.9999999999994316E-2</v>
      </c>
      <c r="CE25" s="64">
        <f t="shared" si="7"/>
        <v>9.9999999999994316E-2</v>
      </c>
      <c r="CF25" s="64">
        <f t="shared" si="7"/>
        <v>9.9999999999994316E-2</v>
      </c>
      <c r="CG25" s="64">
        <f t="shared" si="7"/>
        <v>9.9999999999994316E-2</v>
      </c>
      <c r="CH25" s="64">
        <f t="shared" si="7"/>
        <v>9.9999999999994316E-2</v>
      </c>
      <c r="CI25" s="64">
        <f t="shared" si="7"/>
        <v>9.9999999999994316E-2</v>
      </c>
      <c r="CJ25" s="64">
        <f t="shared" si="7"/>
        <v>9.9999999999994316E-2</v>
      </c>
      <c r="CK25" s="64">
        <f t="shared" si="7"/>
        <v>9.9999999999994316E-2</v>
      </c>
      <c r="CL25" s="64">
        <f t="shared" si="7"/>
        <v>9.9999999999994316E-2</v>
      </c>
      <c r="CM25" s="64">
        <f>CM23-CL23</f>
        <v>9.9999999999994316E-2</v>
      </c>
      <c r="CN25" s="64">
        <f t="shared" si="7"/>
        <v>5.5999999999999943</v>
      </c>
    </row>
    <row r="26" spans="1:92" s="64" customFormat="1" ht="14.1" customHeight="1">
      <c r="C26" s="65"/>
      <c r="AK26" s="85"/>
    </row>
    <row r="27" spans="1:92" s="64" customFormat="1" ht="18">
      <c r="B27" s="87" t="s">
        <v>25</v>
      </c>
      <c r="C27" s="88"/>
      <c r="D27" s="89"/>
      <c r="AD27" s="64">
        <f>AG23</f>
        <v>26.666666666664327</v>
      </c>
      <c r="AE27" s="64">
        <f>AD27</f>
        <v>26.666666666664327</v>
      </c>
      <c r="AF27" s="64">
        <f>AD27/2+AI27</f>
        <v>87.442222222221062</v>
      </c>
      <c r="AG27" s="64">
        <f>AG23+AH30</f>
        <v>100.77555555555323</v>
      </c>
      <c r="AH27" s="64">
        <f>AH30</f>
        <v>74.108888888888899</v>
      </c>
      <c r="AI27" s="64">
        <f>AH29</f>
        <v>74.108888888888899</v>
      </c>
      <c r="AJ27" s="64">
        <f>AG27+$AJ28</f>
        <v>100.87555555555322</v>
      </c>
      <c r="AK27" s="85">
        <f>AJ27+$AJ28</f>
        <v>100.97555555555321</v>
      </c>
    </row>
    <row r="28" spans="1:92" s="64" customFormat="1">
      <c r="C28" s="65"/>
      <c r="AJ28" s="64">
        <v>0.1</v>
      </c>
      <c r="AK28" s="85">
        <v>0.2</v>
      </c>
    </row>
    <row r="29" spans="1:92" s="64" customFormat="1" ht="13.5" thickBot="1">
      <c r="B29" s="64" t="s">
        <v>26</v>
      </c>
      <c r="AH29" s="64">
        <f>AH27</f>
        <v>74.108888888888899</v>
      </c>
      <c r="AI29" s="64">
        <f>AI27-AD27</f>
        <v>47.442222222224572</v>
      </c>
      <c r="AJ29" s="64">
        <f>AJ27-AG27</f>
        <v>9.9999999999994316E-2</v>
      </c>
      <c r="AK29" s="85">
        <f>AK27-AJ27</f>
        <v>9.9999999999994316E-2</v>
      </c>
    </row>
    <row r="30" spans="1:92" s="64" customFormat="1" ht="13.5" thickBot="1">
      <c r="B30" s="90" t="s">
        <v>69</v>
      </c>
      <c r="C30" s="6"/>
      <c r="D30" s="91"/>
      <c r="E30" s="92">
        <f>$C20*$E37-0.75*(($E37*$E37)/6)</f>
        <v>25.919999999999998</v>
      </c>
      <c r="AH30" s="64">
        <f>AH19</f>
        <v>74.108888888888899</v>
      </c>
      <c r="AK30" s="85"/>
    </row>
    <row r="31" spans="1:92" s="64" customFormat="1" ht="13.5" thickBot="1">
      <c r="B31" s="93" t="s">
        <v>70</v>
      </c>
      <c r="C31" s="6"/>
      <c r="D31" s="91"/>
      <c r="E31" s="92">
        <f>0.5*$C21*$F37</f>
        <v>11.760000000000002</v>
      </c>
      <c r="AK31" s="85"/>
    </row>
    <row r="32" spans="1:92" s="64" customFormat="1" ht="13.5" thickBot="1">
      <c r="B32" s="93" t="s">
        <v>71</v>
      </c>
      <c r="C32" s="6"/>
      <c r="D32" s="91"/>
      <c r="E32" s="92">
        <f>$C4-$E30-$E31-$C55</f>
        <v>444.65333333333342</v>
      </c>
      <c r="AH32" s="64">
        <f>AH30-AG23</f>
        <v>47.442222222224572</v>
      </c>
      <c r="AK32" s="85"/>
      <c r="BV32" s="64">
        <f>(CN46+CM46+AH46+AG46)</f>
        <v>149.67999999998551</v>
      </c>
    </row>
    <row r="33" spans="1:256" s="64" customFormat="1" ht="13.5" thickBot="1">
      <c r="B33" s="94" t="s">
        <v>72</v>
      </c>
      <c r="C33" s="6"/>
      <c r="D33" s="91"/>
      <c r="E33" s="92">
        <f>C55</f>
        <v>106.66666666666664</v>
      </c>
      <c r="AK33" s="85"/>
    </row>
    <row r="34" spans="1:256" s="64" customFormat="1" ht="13.5" thickBot="1">
      <c r="A34" s="65"/>
      <c r="B34" s="95" t="s">
        <v>73</v>
      </c>
      <c r="C34" s="6"/>
      <c r="D34" s="91"/>
      <c r="E34" s="92">
        <f>SUM(E29:E33)</f>
        <v>589.00000000000011</v>
      </c>
      <c r="F34" s="65"/>
      <c r="AK34" s="85"/>
    </row>
    <row r="35" spans="1:256" s="64" customFormat="1" ht="13.5" thickBot="1">
      <c r="A35" s="65"/>
      <c r="B35" s="65"/>
      <c r="C35" s="65"/>
      <c r="D35" s="65"/>
      <c r="E35" s="65"/>
      <c r="F35" s="65"/>
      <c r="AK35" s="85"/>
    </row>
    <row r="36" spans="1:256" s="64" customFormat="1" ht="13.5" thickBot="1">
      <c r="B36" s="95" t="s">
        <v>74</v>
      </c>
      <c r="C36" s="96" t="s">
        <v>75</v>
      </c>
      <c r="D36" s="96" t="s">
        <v>76</v>
      </c>
      <c r="E36" s="97" t="s">
        <v>77</v>
      </c>
      <c r="F36" s="65" t="s">
        <v>78</v>
      </c>
      <c r="G36" s="65"/>
      <c r="AK36" s="85"/>
    </row>
    <row r="37" spans="1:256" s="64" customFormat="1" ht="13.5" thickBot="1">
      <c r="A37" s="65"/>
      <c r="B37" s="97"/>
      <c r="C37" s="96">
        <f>(2*C20)/C17</f>
        <v>26.666666666666664</v>
      </c>
      <c r="D37" s="96">
        <f>E32/C20</f>
        <v>74.108888888888899</v>
      </c>
      <c r="E37" s="98">
        <f>2*((C20-C21)/(0.75))</f>
        <v>4.8</v>
      </c>
      <c r="F37" s="65">
        <f>$C21/0.75</f>
        <v>5.6000000000000005</v>
      </c>
      <c r="G37" s="65">
        <f>SUM(C37:F37)</f>
        <v>111.17555555555556</v>
      </c>
      <c r="AH37" s="99" t="s">
        <v>79</v>
      </c>
      <c r="AJ37" s="64" t="s">
        <v>80</v>
      </c>
      <c r="AK37" s="85"/>
    </row>
    <row r="38" spans="1:256" s="64" customFormat="1" ht="13.5" thickBot="1">
      <c r="A38" s="65"/>
      <c r="B38" s="98"/>
      <c r="C38" s="96" t="str">
        <f>E36</f>
        <v xml:space="preserve">t3 = </v>
      </c>
      <c r="D38" s="96" t="str">
        <f>F36</f>
        <v xml:space="preserve">t3/ = </v>
      </c>
      <c r="E38" s="98"/>
      <c r="F38" s="65"/>
      <c r="G38" s="65"/>
      <c r="AH38" s="99"/>
      <c r="AK38" s="85"/>
    </row>
    <row r="39" spans="1:256" s="64" customFormat="1" ht="13.5" thickBot="1">
      <c r="A39" s="65"/>
      <c r="B39" s="100"/>
      <c r="C39" s="101">
        <f>E37</f>
        <v>4.8</v>
      </c>
      <c r="D39" s="101">
        <f>F37</f>
        <v>5.6000000000000005</v>
      </c>
      <c r="E39" s="100"/>
      <c r="AK39" s="85"/>
    </row>
    <row r="40" spans="1:256" s="64" customFormat="1" ht="13.5" thickBot="1">
      <c r="A40" s="65"/>
      <c r="B40" s="100" t="s">
        <v>81</v>
      </c>
      <c r="C40" s="102"/>
      <c r="D40" s="103">
        <f>C37+D37+C39+D39</f>
        <v>111.17555555555556</v>
      </c>
      <c r="E40" s="104"/>
      <c r="AK40" s="85"/>
    </row>
    <row r="41" spans="1:256" s="64" customFormat="1" ht="32.1" customHeight="1" thickBot="1">
      <c r="A41" s="65"/>
      <c r="B41" s="67" t="s">
        <v>82</v>
      </c>
      <c r="C41" s="105"/>
      <c r="D41" s="106">
        <f>SUM(50:50)</f>
        <v>60966.16186984325</v>
      </c>
      <c r="E41" s="107"/>
      <c r="AK41" s="85">
        <f>AG46+SUM(AH46:AK46)</f>
        <v>551.31999999998595</v>
      </c>
    </row>
    <row r="42" spans="1:256" s="64" customFormat="1" ht="29.65" customHeight="1" thickBot="1">
      <c r="A42" s="65"/>
      <c r="B42" s="68" t="s">
        <v>83</v>
      </c>
      <c r="C42" s="105"/>
      <c r="D42" s="106">
        <f>SUM(51:51)</f>
        <v>74119.523730309564</v>
      </c>
      <c r="E42" s="107"/>
      <c r="AK42" s="85"/>
    </row>
    <row r="43" spans="1:256" s="64" customFormat="1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108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/>
      <c r="CC43" s="65"/>
      <c r="CD43" s="65"/>
      <c r="CE43" s="65"/>
      <c r="CF43" s="65"/>
      <c r="CG43" s="65"/>
      <c r="CH43" s="65"/>
      <c r="CI43" s="65"/>
      <c r="CJ43" s="65"/>
      <c r="CK43" s="65"/>
      <c r="CL43" s="65"/>
      <c r="CM43" s="65"/>
      <c r="CN43" s="65"/>
    </row>
    <row r="44" spans="1:256" s="65" customFormat="1">
      <c r="B44" s="65" t="s">
        <v>52</v>
      </c>
      <c r="C44" s="65">
        <f>$C17-$C17*(C19/$C37)</f>
        <v>0.45</v>
      </c>
      <c r="D44" s="65">
        <f t="shared" ref="D44:AF44" si="8">$C17-$C17*(D19/$C37)</f>
        <v>0.43500000000000133</v>
      </c>
      <c r="E44" s="65">
        <f t="shared" si="8"/>
        <v>0.42000000000000265</v>
      </c>
      <c r="F44" s="65">
        <f t="shared" si="8"/>
        <v>0.40500000000000397</v>
      </c>
      <c r="G44" s="65">
        <f t="shared" si="8"/>
        <v>0.39000000000000529</v>
      </c>
      <c r="H44" s="65">
        <f t="shared" si="8"/>
        <v>0.37500000000000661</v>
      </c>
      <c r="I44" s="65">
        <f t="shared" si="8"/>
        <v>0.36000000000000798</v>
      </c>
      <c r="J44" s="65">
        <f t="shared" si="8"/>
        <v>0.3450000000000093</v>
      </c>
      <c r="K44" s="65">
        <f t="shared" si="8"/>
        <v>0.33000000000001062</v>
      </c>
      <c r="L44" s="65">
        <f t="shared" si="8"/>
        <v>0.31500000000001194</v>
      </c>
      <c r="M44" s="65">
        <f t="shared" si="8"/>
        <v>0.30000000000001326</v>
      </c>
      <c r="N44" s="65">
        <f t="shared" si="8"/>
        <v>0.28500000000001458</v>
      </c>
      <c r="O44" s="65">
        <f t="shared" si="8"/>
        <v>0.27000000000001589</v>
      </c>
      <c r="P44" s="65">
        <f t="shared" si="8"/>
        <v>0.25500000000001716</v>
      </c>
      <c r="Q44" s="65">
        <f t="shared" si="8"/>
        <v>0.24000000000001848</v>
      </c>
      <c r="R44" s="65">
        <f t="shared" si="8"/>
        <v>0.2250000000000198</v>
      </c>
      <c r="S44" s="65">
        <f t="shared" si="8"/>
        <v>0.21000000000002109</v>
      </c>
      <c r="T44" s="65">
        <f t="shared" si="8"/>
        <v>0.19500000000002238</v>
      </c>
      <c r="U44" s="65">
        <f t="shared" si="8"/>
        <v>0.18000000000002375</v>
      </c>
      <c r="V44" s="65">
        <f t="shared" si="8"/>
        <v>0.16500000000002507</v>
      </c>
      <c r="W44" s="65">
        <f t="shared" si="8"/>
        <v>0.15000000000002633</v>
      </c>
      <c r="X44" s="65">
        <f t="shared" si="8"/>
        <v>0.13500000000002765</v>
      </c>
      <c r="Y44" s="65">
        <f t="shared" si="8"/>
        <v>0.12000000000002897</v>
      </c>
      <c r="Z44" s="65">
        <f t="shared" si="8"/>
        <v>0.10500000000003024</v>
      </c>
      <c r="AA44" s="65">
        <f t="shared" si="8"/>
        <v>9.000000000003161E-2</v>
      </c>
      <c r="AB44" s="65">
        <f t="shared" si="8"/>
        <v>7.5000000000032929E-2</v>
      </c>
      <c r="AC44" s="65">
        <f t="shared" si="8"/>
        <v>6.0000000000034193E-2</v>
      </c>
      <c r="AD44" s="65">
        <f t="shared" si="8"/>
        <v>4.5000000000035512E-2</v>
      </c>
      <c r="AE44" s="65">
        <f t="shared" si="8"/>
        <v>3.0000000000036831E-2</v>
      </c>
      <c r="AF44" s="65">
        <f t="shared" si="8"/>
        <v>1.5000000000038094E-2</v>
      </c>
      <c r="AG44" s="65">
        <f>ABS($C17-$C17*(AG19/$C37))</f>
        <v>3.9468428525424315E-14</v>
      </c>
      <c r="AH44" s="65">
        <v>0</v>
      </c>
      <c r="AI44" s="65">
        <v>0</v>
      </c>
      <c r="AJ44" s="65">
        <v>0</v>
      </c>
      <c r="AK44" s="108">
        <v>0</v>
      </c>
      <c r="AL44" s="65">
        <f>-(0.75*AL24)/$E37</f>
        <v>7.8124999999952954E-2</v>
      </c>
      <c r="AM44" s="65">
        <f t="shared" ref="AM44:BO44" si="9">-(0.75*AM24)/$E37</f>
        <v>6.2499999999953842E-2</v>
      </c>
      <c r="AN44" s="65">
        <f t="shared" si="9"/>
        <v>4.6874999999954731E-2</v>
      </c>
      <c r="AO44" s="65">
        <f t="shared" si="9"/>
        <v>3.1249999999955619E-2</v>
      </c>
      <c r="AP44" s="65">
        <f t="shared" si="9"/>
        <v>1.5624999999956507E-2</v>
      </c>
      <c r="AQ44" s="65">
        <f t="shared" si="9"/>
        <v>-4.2604808569990382E-14</v>
      </c>
      <c r="AR44" s="65">
        <f t="shared" si="9"/>
        <v>-1.5625000000041717E-2</v>
      </c>
      <c r="AS44" s="65">
        <f t="shared" si="9"/>
        <v>-3.1250000000040828E-2</v>
      </c>
      <c r="AT44" s="65">
        <f t="shared" si="9"/>
        <v>-4.687500000003994E-2</v>
      </c>
      <c r="AU44" s="65">
        <f t="shared" si="9"/>
        <v>-6.2500000000039052E-2</v>
      </c>
      <c r="AV44" s="65">
        <f t="shared" si="9"/>
        <v>-7.8125000000038164E-2</v>
      </c>
      <c r="AW44" s="65">
        <f t="shared" si="9"/>
        <v>-9.3750000000037276E-2</v>
      </c>
      <c r="AX44" s="65">
        <f t="shared" si="9"/>
        <v>-0.10937500000003639</v>
      </c>
      <c r="AY44" s="65">
        <f t="shared" si="9"/>
        <v>-0.1250000000000355</v>
      </c>
      <c r="AZ44" s="65">
        <f t="shared" si="9"/>
        <v>-0.14062500000003461</v>
      </c>
      <c r="BA44" s="65">
        <f t="shared" si="9"/>
        <v>-0.15625000000003372</v>
      </c>
      <c r="BB44" s="65">
        <f t="shared" si="9"/>
        <v>-0.17187500000003283</v>
      </c>
      <c r="BC44" s="65">
        <f t="shared" si="9"/>
        <v>-0.18750000000003195</v>
      </c>
      <c r="BD44" s="65">
        <f t="shared" si="9"/>
        <v>-0.20312500000003106</v>
      </c>
      <c r="BE44" s="65">
        <f t="shared" si="9"/>
        <v>-0.21875000000003017</v>
      </c>
      <c r="BF44" s="65">
        <f t="shared" si="9"/>
        <v>-0.23437500000002928</v>
      </c>
      <c r="BG44" s="65">
        <f t="shared" si="9"/>
        <v>-0.25000000000002842</v>
      </c>
      <c r="BH44" s="65">
        <f t="shared" si="9"/>
        <v>-0.26562500000002753</v>
      </c>
      <c r="BI44" s="65">
        <f t="shared" si="9"/>
        <v>-0.28125000000002665</v>
      </c>
      <c r="BJ44" s="65">
        <f t="shared" si="9"/>
        <v>-0.29687500000002576</v>
      </c>
      <c r="BK44" s="65">
        <f t="shared" si="9"/>
        <v>-0.31250000000002487</v>
      </c>
      <c r="BL44" s="65">
        <f t="shared" si="9"/>
        <v>-0.32812500000002398</v>
      </c>
      <c r="BM44" s="65">
        <f t="shared" si="9"/>
        <v>-0.34375000000002309</v>
      </c>
      <c r="BN44" s="65">
        <f t="shared" si="9"/>
        <v>-0.3593750000000222</v>
      </c>
      <c r="BO44" s="65">
        <f t="shared" si="9"/>
        <v>-0.37500000000002132</v>
      </c>
      <c r="BP44" s="65">
        <f t="shared" ref="BP44:CM44" si="10">-(0.75*BP24)/$E37</f>
        <v>-0.39062500000002043</v>
      </c>
      <c r="BQ44" s="65">
        <f t="shared" si="10"/>
        <v>-0.40625000000001954</v>
      </c>
      <c r="BR44" s="65">
        <f t="shared" si="10"/>
        <v>-0.4218750000000186</v>
      </c>
      <c r="BS44" s="65">
        <f t="shared" si="10"/>
        <v>-0.43750000000001771</v>
      </c>
      <c r="BT44" s="65">
        <f t="shared" si="10"/>
        <v>-0.45312500000001682</v>
      </c>
      <c r="BU44" s="65">
        <f t="shared" si="10"/>
        <v>-0.46875000000001593</v>
      </c>
      <c r="BV44" s="65">
        <f t="shared" si="10"/>
        <v>-0.48437500000001504</v>
      </c>
      <c r="BW44" s="65">
        <f t="shared" si="10"/>
        <v>-0.50000000000001421</v>
      </c>
      <c r="BX44" s="65">
        <f t="shared" si="10"/>
        <v>-0.51562500000001332</v>
      </c>
      <c r="BY44" s="65">
        <f t="shared" si="10"/>
        <v>-0.53125000000001243</v>
      </c>
      <c r="BZ44" s="65">
        <f t="shared" si="10"/>
        <v>-0.54687500000001155</v>
      </c>
      <c r="CA44" s="65">
        <f t="shared" si="10"/>
        <v>-0.56250000000001066</v>
      </c>
      <c r="CB44" s="65">
        <f t="shared" si="10"/>
        <v>-0.57812500000000977</v>
      </c>
      <c r="CC44" s="65">
        <f t="shared" si="10"/>
        <v>-0.59375000000000888</v>
      </c>
      <c r="CD44" s="65">
        <f t="shared" si="10"/>
        <v>-0.60937500000000799</v>
      </c>
      <c r="CE44" s="65">
        <f t="shared" si="10"/>
        <v>-0.62500000000000711</v>
      </c>
      <c r="CF44" s="65">
        <f t="shared" si="10"/>
        <v>-0.64062500000000622</v>
      </c>
      <c r="CG44" s="65">
        <f t="shared" si="10"/>
        <v>-0.65625000000000533</v>
      </c>
      <c r="CH44" s="65">
        <f t="shared" si="10"/>
        <v>-0.67187500000000444</v>
      </c>
      <c r="CI44" s="65">
        <f t="shared" si="10"/>
        <v>-0.68750000000000355</v>
      </c>
      <c r="CJ44" s="65">
        <f t="shared" si="10"/>
        <v>-0.70312500000000266</v>
      </c>
      <c r="CK44" s="65">
        <f t="shared" si="10"/>
        <v>-0.71875000000000178</v>
      </c>
      <c r="CL44" s="65">
        <f t="shared" si="10"/>
        <v>-0.73437500000000089</v>
      </c>
      <c r="CM44" s="65">
        <f t="shared" si="10"/>
        <v>-0.75</v>
      </c>
      <c r="CN44" s="65">
        <f>CM44</f>
        <v>-0.75</v>
      </c>
    </row>
    <row r="45" spans="1:256" s="65" customFormat="1">
      <c r="B45" s="65" t="s">
        <v>53</v>
      </c>
      <c r="C45" s="109">
        <f t="shared" ref="C45:AG45" si="11">$C17*C19-$C17*((C19*C19)/(2*$C37))</f>
        <v>0</v>
      </c>
      <c r="D45" s="65">
        <f t="shared" si="11"/>
        <v>0.39333333333329923</v>
      </c>
      <c r="E45" s="65">
        <f t="shared" si="11"/>
        <v>0.77333333333326748</v>
      </c>
      <c r="F45" s="65">
        <f t="shared" si="11"/>
        <v>1.1399999999999049</v>
      </c>
      <c r="G45" s="65">
        <f t="shared" si="11"/>
        <v>1.4933333333332111</v>
      </c>
      <c r="H45" s="65">
        <f t="shared" si="11"/>
        <v>1.8333333333331863</v>
      </c>
      <c r="I45" s="65">
        <f t="shared" si="11"/>
        <v>2.1599999999998305</v>
      </c>
      <c r="J45" s="65">
        <f t="shared" si="11"/>
        <v>2.473333333333144</v>
      </c>
      <c r="K45" s="65">
        <f t="shared" si="11"/>
        <v>2.773333333333126</v>
      </c>
      <c r="L45" s="65">
        <f t="shared" si="11"/>
        <v>3.0599999999997776</v>
      </c>
      <c r="M45" s="65">
        <f t="shared" si="11"/>
        <v>3.3333333333330977</v>
      </c>
      <c r="N45" s="65">
        <f t="shared" si="11"/>
        <v>3.5933333333330877</v>
      </c>
      <c r="O45" s="65">
        <f t="shared" si="11"/>
        <v>3.8399999999997458</v>
      </c>
      <c r="P45" s="65">
        <f t="shared" si="11"/>
        <v>4.0733333333330739</v>
      </c>
      <c r="Q45" s="65">
        <f t="shared" si="11"/>
        <v>4.2933333333330701</v>
      </c>
      <c r="R45" s="65">
        <f t="shared" si="11"/>
        <v>4.4999999999997362</v>
      </c>
      <c r="S45" s="65">
        <f t="shared" si="11"/>
        <v>4.6933333333330705</v>
      </c>
      <c r="T45" s="65">
        <f t="shared" si="11"/>
        <v>4.8733333333330737</v>
      </c>
      <c r="U45" s="65">
        <f t="shared" si="11"/>
        <v>5.0399999999997469</v>
      </c>
      <c r="V45" s="65">
        <f t="shared" si="11"/>
        <v>5.1933333333330873</v>
      </c>
      <c r="W45" s="65">
        <f t="shared" si="11"/>
        <v>5.3333333333330994</v>
      </c>
      <c r="X45" s="65">
        <f t="shared" si="11"/>
        <v>5.459999999999777</v>
      </c>
      <c r="Y45" s="65">
        <f t="shared" si="11"/>
        <v>5.5733333333331281</v>
      </c>
      <c r="Z45" s="65">
        <f t="shared" si="11"/>
        <v>5.6733333333331455</v>
      </c>
      <c r="AA45" s="65">
        <f t="shared" si="11"/>
        <v>5.759999999999831</v>
      </c>
      <c r="AB45" s="65">
        <f t="shared" si="11"/>
        <v>5.8333333333331874</v>
      </c>
      <c r="AC45" s="65">
        <f t="shared" si="11"/>
        <v>5.893333333333211</v>
      </c>
      <c r="AD45" s="65">
        <f t="shared" si="11"/>
        <v>5.9399999999999054</v>
      </c>
      <c r="AE45" s="65">
        <f t="shared" si="11"/>
        <v>5.9733333333332679</v>
      </c>
      <c r="AF45" s="65">
        <f t="shared" si="11"/>
        <v>5.9933333333332985</v>
      </c>
      <c r="AG45" s="65">
        <f t="shared" si="11"/>
        <v>6</v>
      </c>
      <c r="AH45" s="65">
        <f>AG45</f>
        <v>6</v>
      </c>
      <c r="AI45" s="65">
        <f>AH45</f>
        <v>6</v>
      </c>
      <c r="AJ45" s="65">
        <f>AI45</f>
        <v>6</v>
      </c>
      <c r="AK45" s="108">
        <f>AJ45</f>
        <v>6</v>
      </c>
      <c r="AL45" s="65">
        <f t="shared" ref="AL45:BO45" si="12">-0.75*(AL24^2)/(2*$E37)+$C20</f>
        <v>5.9804687500000231</v>
      </c>
      <c r="AM45" s="65">
        <f t="shared" si="12"/>
        <v>5.9875000000000185</v>
      </c>
      <c r="AN45" s="65">
        <f t="shared" si="12"/>
        <v>5.9929687500000135</v>
      </c>
      <c r="AO45" s="65">
        <f t="shared" si="12"/>
        <v>5.9968750000000091</v>
      </c>
      <c r="AP45" s="65">
        <f t="shared" si="12"/>
        <v>5.9992187500000043</v>
      </c>
      <c r="AQ45" s="65">
        <f t="shared" si="12"/>
        <v>6</v>
      </c>
      <c r="AR45" s="65">
        <f t="shared" si="12"/>
        <v>5.9992187499999963</v>
      </c>
      <c r="AS45" s="65">
        <f t="shared" si="12"/>
        <v>5.9968749999999922</v>
      </c>
      <c r="AT45" s="65">
        <f t="shared" si="12"/>
        <v>5.9929687499999877</v>
      </c>
      <c r="AU45" s="65">
        <f t="shared" si="12"/>
        <v>5.9874999999999847</v>
      </c>
      <c r="AV45" s="65">
        <f t="shared" si="12"/>
        <v>5.9804687499999813</v>
      </c>
      <c r="AW45" s="65">
        <f t="shared" si="12"/>
        <v>5.9718749999999776</v>
      </c>
      <c r="AX45" s="65">
        <f t="shared" si="12"/>
        <v>5.9617187499999744</v>
      </c>
      <c r="AY45" s="65">
        <f t="shared" si="12"/>
        <v>5.9499999999999718</v>
      </c>
      <c r="AZ45" s="65">
        <f t="shared" si="12"/>
        <v>5.9367187499999687</v>
      </c>
      <c r="BA45" s="65">
        <f t="shared" si="12"/>
        <v>5.9218749999999662</v>
      </c>
      <c r="BB45" s="65">
        <f t="shared" si="12"/>
        <v>5.9054687499999643</v>
      </c>
      <c r="BC45" s="65">
        <f t="shared" si="12"/>
        <v>5.887499999999962</v>
      </c>
      <c r="BD45" s="65">
        <f t="shared" si="12"/>
        <v>5.8679687499999593</v>
      </c>
      <c r="BE45" s="65">
        <f t="shared" si="12"/>
        <v>5.8468749999999581</v>
      </c>
      <c r="BF45" s="65">
        <f t="shared" si="12"/>
        <v>5.8242187499999565</v>
      </c>
      <c r="BG45" s="65">
        <f t="shared" si="12"/>
        <v>5.7999999999999545</v>
      </c>
      <c r="BH45" s="65">
        <f t="shared" si="12"/>
        <v>5.7742187499999531</v>
      </c>
      <c r="BI45" s="65">
        <f t="shared" si="12"/>
        <v>5.7468749999999522</v>
      </c>
      <c r="BJ45" s="65">
        <f t="shared" si="12"/>
        <v>5.717968749999951</v>
      </c>
      <c r="BK45" s="65">
        <f t="shared" si="12"/>
        <v>5.6874999999999503</v>
      </c>
      <c r="BL45" s="65">
        <f t="shared" si="12"/>
        <v>5.6554687499999492</v>
      </c>
      <c r="BM45" s="65">
        <f t="shared" si="12"/>
        <v>5.6218749999999496</v>
      </c>
      <c r="BN45" s="65">
        <f t="shared" si="12"/>
        <v>5.5867187499999487</v>
      </c>
      <c r="BO45" s="65">
        <f t="shared" si="12"/>
        <v>5.5499999999999492</v>
      </c>
      <c r="BP45" s="65">
        <f t="shared" ref="BP45:CM45" si="13">-0.75*(BP24^2)/(2*$E37)+$C20</f>
        <v>5.5117187499999494</v>
      </c>
      <c r="BQ45" s="65">
        <f t="shared" si="13"/>
        <v>5.4718749999999492</v>
      </c>
      <c r="BR45" s="65">
        <f t="shared" si="13"/>
        <v>5.4304687499999496</v>
      </c>
      <c r="BS45" s="65">
        <f t="shared" si="13"/>
        <v>5.3874999999999504</v>
      </c>
      <c r="BT45" s="65">
        <f t="shared" si="13"/>
        <v>5.342968749999951</v>
      </c>
      <c r="BU45" s="65">
        <f t="shared" si="13"/>
        <v>5.296874999999952</v>
      </c>
      <c r="BV45" s="65">
        <f t="shared" si="13"/>
        <v>5.2492187499999527</v>
      </c>
      <c r="BW45" s="65">
        <f t="shared" si="13"/>
        <v>5.1999999999999549</v>
      </c>
      <c r="BX45" s="65">
        <f t="shared" si="13"/>
        <v>5.1492187499999558</v>
      </c>
      <c r="BY45" s="65">
        <f t="shared" si="13"/>
        <v>5.0968749999999581</v>
      </c>
      <c r="BZ45" s="65">
        <f t="shared" si="13"/>
        <v>5.0429687499999591</v>
      </c>
      <c r="CA45" s="65">
        <f t="shared" si="13"/>
        <v>4.9874999999999616</v>
      </c>
      <c r="CB45" s="65">
        <f t="shared" si="13"/>
        <v>4.9304687499999638</v>
      </c>
      <c r="CC45" s="65">
        <f t="shared" si="13"/>
        <v>4.8718749999999664</v>
      </c>
      <c r="CD45" s="65">
        <f t="shared" si="13"/>
        <v>4.8117187499999687</v>
      </c>
      <c r="CE45" s="65">
        <f t="shared" si="13"/>
        <v>4.7499999999999716</v>
      </c>
      <c r="CF45" s="65">
        <f t="shared" si="13"/>
        <v>4.6867187499999741</v>
      </c>
      <c r="CG45" s="65">
        <f t="shared" si="13"/>
        <v>4.621874999999978</v>
      </c>
      <c r="CH45" s="65">
        <f t="shared" si="13"/>
        <v>4.5554687499999806</v>
      </c>
      <c r="CI45" s="65">
        <f t="shared" si="13"/>
        <v>4.4874999999999847</v>
      </c>
      <c r="CJ45" s="65">
        <f t="shared" si="13"/>
        <v>4.4179687499999876</v>
      </c>
      <c r="CK45" s="65">
        <f t="shared" si="13"/>
        <v>4.3468749999999918</v>
      </c>
      <c r="CL45" s="65">
        <f t="shared" si="13"/>
        <v>4.2742187499999957</v>
      </c>
      <c r="CM45" s="65">
        <f t="shared" si="13"/>
        <v>4.1999999999999993</v>
      </c>
      <c r="CN45" s="65">
        <v>0</v>
      </c>
    </row>
    <row r="46" spans="1:256" s="65" customFormat="1">
      <c r="B46" s="65" t="s">
        <v>54</v>
      </c>
      <c r="C46" s="65">
        <f>$C17*((C19*C19)/2)-$C17*((C19*C19*C19)/(6*$C37))</f>
        <v>0</v>
      </c>
      <c r="D46" s="65">
        <f>$C17*((D19*D19)/2)-$C17*((D19*D19*D19)/(6*$C37))</f>
        <v>0.17580246913577161</v>
      </c>
      <c r="E46" s="65">
        <f t="shared" ref="E46:AF46" si="14">$C17*((E19*E19)/2)-$C17*((E19*E19*E19)/(6*$C37))</f>
        <v>0.69530864197518727</v>
      </c>
      <c r="F46" s="65">
        <f t="shared" si="14"/>
        <v>1.5466666666663986</v>
      </c>
      <c r="G46" s="65">
        <f t="shared" si="14"/>
        <v>2.7180246913575559</v>
      </c>
      <c r="H46" s="65">
        <f t="shared" si="14"/>
        <v>4.1975308641968123</v>
      </c>
      <c r="I46" s="65">
        <f t="shared" si="14"/>
        <v>5.9733333333323158</v>
      </c>
      <c r="J46" s="65">
        <f t="shared" si="14"/>
        <v>8.0335802469122211</v>
      </c>
      <c r="K46" s="65">
        <f t="shared" si="14"/>
        <v>10.366419753084678</v>
      </c>
      <c r="L46" s="65">
        <f t="shared" si="14"/>
        <v>12.959999999997837</v>
      </c>
      <c r="M46" s="65">
        <f t="shared" si="14"/>
        <v>15.802469135799855</v>
      </c>
      <c r="N46" s="65">
        <f t="shared" si="14"/>
        <v>18.881975308638875</v>
      </c>
      <c r="O46" s="65">
        <f t="shared" si="14"/>
        <v>22.186666666663054</v>
      </c>
      <c r="P46" s="65">
        <f t="shared" si="14"/>
        <v>25.704691358020543</v>
      </c>
      <c r="Q46" s="65">
        <f t="shared" si="14"/>
        <v>29.424197530859495</v>
      </c>
      <c r="R46" s="65">
        <f t="shared" si="14"/>
        <v>33.333333333328056</v>
      </c>
      <c r="S46" s="65">
        <f t="shared" si="14"/>
        <v>37.420246913574374</v>
      </c>
      <c r="T46" s="65">
        <f t="shared" si="14"/>
        <v>41.67308641974661</v>
      </c>
      <c r="U46" s="65">
        <f t="shared" si="14"/>
        <v>46.079999999992907</v>
      </c>
      <c r="V46" s="65">
        <f t="shared" si="14"/>
        <v>50.629135802461441</v>
      </c>
      <c r="W46" s="65">
        <f t="shared" si="14"/>
        <v>55.308641975300304</v>
      </c>
      <c r="X46" s="65">
        <f t="shared" si="14"/>
        <v>60.106666666657723</v>
      </c>
      <c r="Y46" s="65">
        <f t="shared" si="14"/>
        <v>65.011358024681783</v>
      </c>
      <c r="Z46" s="65">
        <f t="shared" si="14"/>
        <v>70.010864197520675</v>
      </c>
      <c r="AA46" s="65">
        <f t="shared" si="14"/>
        <v>75.093333333322533</v>
      </c>
      <c r="AB46" s="65">
        <f t="shared" si="14"/>
        <v>80.246913580235542</v>
      </c>
      <c r="AC46" s="65">
        <f t="shared" si="14"/>
        <v>85.459753086407801</v>
      </c>
      <c r="AD46" s="65">
        <f>$C17*((AD19*AD19)/2)-$C17*((AD19*AD19*AD19)/(6*$C37))</f>
        <v>90.719999999987465</v>
      </c>
      <c r="AE46" s="65">
        <f t="shared" si="14"/>
        <v>96.015802469122733</v>
      </c>
      <c r="AF46" s="65">
        <f t="shared" si="14"/>
        <v>101.33530864196177</v>
      </c>
      <c r="AG46" s="65">
        <f>$C17*((AG19*AG19)/2)-$C17*((AG19*AG19*AG19)/(6*$C37))</f>
        <v>106.66666666665263</v>
      </c>
      <c r="AH46" s="65">
        <f>AH45*AH25</f>
        <v>5.3333333333328667</v>
      </c>
      <c r="AI46" s="65">
        <f>AI45*AI25</f>
        <v>428.65333333333479</v>
      </c>
      <c r="AJ46" s="65">
        <f>AJ45*AJ25</f>
        <v>5.3333333333328028</v>
      </c>
      <c r="AK46" s="108">
        <f>AK45*AK25</f>
        <v>5.3333333333328881</v>
      </c>
      <c r="AL46" s="65">
        <f>($C20*AL24)-0.75*(AL24^3)/(6*$E37)</f>
        <v>-2.9967447916648662</v>
      </c>
      <c r="AM46" s="65">
        <f t="shared" ref="AM46:BO46" si="15">($C20*AM24)-0.75*(AM24^3)/(6*$E37)</f>
        <v>-2.3983333333315646</v>
      </c>
      <c r="AN46" s="65">
        <f t="shared" si="15"/>
        <v>-1.7992968749982636</v>
      </c>
      <c r="AO46" s="65">
        <f t="shared" si="15"/>
        <v>-1.1997916666649633</v>
      </c>
      <c r="AP46" s="65">
        <f t="shared" si="15"/>
        <v>-0.59997395833166345</v>
      </c>
      <c r="AQ46" s="65">
        <f t="shared" si="15"/>
        <v>1.6360246490876307E-12</v>
      </c>
      <c r="AR46" s="65">
        <f t="shared" si="15"/>
        <v>0.59997395833493505</v>
      </c>
      <c r="AS46" s="65">
        <f t="shared" si="15"/>
        <v>1.1997916666682336</v>
      </c>
      <c r="AT46" s="65">
        <f t="shared" si="15"/>
        <v>1.7992968750015319</v>
      </c>
      <c r="AU46" s="65">
        <f t="shared" si="15"/>
        <v>2.39833333333483</v>
      </c>
      <c r="AV46" s="65">
        <f t="shared" si="15"/>
        <v>2.9967447916681276</v>
      </c>
      <c r="AW46" s="65">
        <f t="shared" si="15"/>
        <v>3.5943750000014245</v>
      </c>
      <c r="AX46" s="65">
        <f t="shared" si="15"/>
        <v>4.1910677083347219</v>
      </c>
      <c r="AY46" s="65">
        <f t="shared" si="15"/>
        <v>4.7866666666680189</v>
      </c>
      <c r="AZ46" s="65">
        <f t="shared" si="15"/>
        <v>5.3810156250013153</v>
      </c>
      <c r="BA46" s="65">
        <f t="shared" si="15"/>
        <v>5.9739583333346111</v>
      </c>
      <c r="BB46" s="65">
        <f t="shared" si="15"/>
        <v>6.5653385416679075</v>
      </c>
      <c r="BC46" s="65">
        <f t="shared" si="15"/>
        <v>7.1550000000012037</v>
      </c>
      <c r="BD46" s="65">
        <f t="shared" si="15"/>
        <v>7.7427864583344999</v>
      </c>
      <c r="BE46" s="65">
        <f t="shared" si="15"/>
        <v>8.3285416666677961</v>
      </c>
      <c r="BF46" s="65">
        <f t="shared" si="15"/>
        <v>8.9121093750010907</v>
      </c>
      <c r="BG46" s="65">
        <f t="shared" si="15"/>
        <v>9.4933333333343874</v>
      </c>
      <c r="BH46" s="65">
        <f t="shared" si="15"/>
        <v>10.072057291667683</v>
      </c>
      <c r="BI46" s="65">
        <f t="shared" si="15"/>
        <v>10.648125000000979</v>
      </c>
      <c r="BJ46" s="65">
        <f t="shared" si="15"/>
        <v>11.221380208334274</v>
      </c>
      <c r="BK46" s="65">
        <f t="shared" si="15"/>
        <v>11.79166666666757</v>
      </c>
      <c r="BL46" s="65">
        <f t="shared" si="15"/>
        <v>12.358828125000867</v>
      </c>
      <c r="BM46" s="65">
        <f t="shared" si="15"/>
        <v>12.922708333334164</v>
      </c>
      <c r="BN46" s="65">
        <f t="shared" si="15"/>
        <v>13.48315104166746</v>
      </c>
      <c r="BO46" s="65">
        <f t="shared" si="15"/>
        <v>14.040000000000756</v>
      </c>
      <c r="BP46" s="65">
        <f t="shared" ref="BP46:CM46" si="16">($C20*BP24)-0.75*(BP24^3)/(6*$E37)</f>
        <v>14.593098958334053</v>
      </c>
      <c r="BQ46" s="65">
        <f t="shared" si="16"/>
        <v>15.142291666667351</v>
      </c>
      <c r="BR46" s="65">
        <f t="shared" si="16"/>
        <v>15.687421875000645</v>
      </c>
      <c r="BS46" s="65">
        <f t="shared" si="16"/>
        <v>16.228333333333943</v>
      </c>
      <c r="BT46" s="65">
        <f t="shared" si="16"/>
        <v>16.764869791667241</v>
      </c>
      <c r="BU46" s="65">
        <f t="shared" si="16"/>
        <v>17.29687500000054</v>
      </c>
      <c r="BV46" s="65">
        <f t="shared" si="16"/>
        <v>17.824192708333836</v>
      </c>
      <c r="BW46" s="65">
        <f t="shared" si="16"/>
        <v>18.346666666667137</v>
      </c>
      <c r="BX46" s="65">
        <f t="shared" si="16"/>
        <v>18.864140625000438</v>
      </c>
      <c r="BY46" s="65">
        <f t="shared" si="16"/>
        <v>19.376458333333737</v>
      </c>
      <c r="BZ46" s="65">
        <f t="shared" si="16"/>
        <v>19.883463541667037</v>
      </c>
      <c r="CA46" s="65">
        <f t="shared" si="16"/>
        <v>20.385000000000339</v>
      </c>
      <c r="CB46" s="65">
        <f t="shared" si="16"/>
        <v>20.880911458333639</v>
      </c>
      <c r="CC46" s="65">
        <f t="shared" si="16"/>
        <v>21.37104166666694</v>
      </c>
      <c r="CD46" s="65">
        <f t="shared" si="16"/>
        <v>21.855234375000244</v>
      </c>
      <c r="CE46" s="65">
        <f t="shared" si="16"/>
        <v>22.333333333333545</v>
      </c>
      <c r="CF46" s="65">
        <f t="shared" si="16"/>
        <v>22.805182291666849</v>
      </c>
      <c r="CG46" s="65">
        <f t="shared" si="16"/>
        <v>23.270625000000155</v>
      </c>
      <c r="CH46" s="65">
        <f t="shared" si="16"/>
        <v>23.72950520833346</v>
      </c>
      <c r="CI46" s="65">
        <f t="shared" si="16"/>
        <v>24.181666666666764</v>
      </c>
      <c r="CJ46" s="65">
        <f t="shared" si="16"/>
        <v>24.626953125000071</v>
      </c>
      <c r="CK46" s="65">
        <f t="shared" si="16"/>
        <v>25.065208333333381</v>
      </c>
      <c r="CL46" s="65">
        <f t="shared" si="16"/>
        <v>25.49627604166669</v>
      </c>
      <c r="CM46" s="65">
        <f t="shared" si="16"/>
        <v>25.919999999999998</v>
      </c>
      <c r="CN46" s="65">
        <f>0.5*$C21*CN24</f>
        <v>11.760000000000002</v>
      </c>
    </row>
    <row r="47" spans="1:256" s="65" customFormat="1">
      <c r="B47" s="65" t="s">
        <v>55</v>
      </c>
      <c r="C47" s="65">
        <f>9.81*($C10-($C6*$C7-$C8*$C9)*($C4-2*C46)-$C11+0.06*C12)+$C5*C44</f>
        <v>144434.53575000001</v>
      </c>
      <c r="D47" s="65">
        <f>9.81*($C10-($C6*$C7-$C8*$C9)*($C4-2*D46)-$C11+0.06*$C12)+$C5*D44</f>
        <v>143017.18137666679</v>
      </c>
      <c r="E47" s="65">
        <f t="shared" ref="E47:AK47" si="17">9.81*($C10-($C6*$C7-$C8*$C9)*($C4-2*E46)-$C11+0.06*$C12)+$C5*E44</f>
        <v>141605.39036333357</v>
      </c>
      <c r="F47" s="65">
        <f t="shared" si="17"/>
        <v>140198.97087000037</v>
      </c>
      <c r="G47" s="65">
        <f t="shared" si="17"/>
        <v>138797.73105666717</v>
      </c>
      <c r="H47" s="65">
        <f t="shared" si="17"/>
        <v>137401.47908333395</v>
      </c>
      <c r="I47" s="65">
        <f t="shared" si="17"/>
        <v>136010.02311000077</v>
      </c>
      <c r="J47" s="65">
        <f t="shared" si="17"/>
        <v>134623.17129666751</v>
      </c>
      <c r="K47" s="65">
        <f t="shared" si="17"/>
        <v>133240.73180333432</v>
      </c>
      <c r="L47" s="65">
        <f t="shared" si="17"/>
        <v>131862.51279000108</v>
      </c>
      <c r="M47" s="65">
        <f t="shared" si="17"/>
        <v>130488.32241666788</v>
      </c>
      <c r="N47" s="65">
        <f t="shared" si="17"/>
        <v>129117.96884333466</v>
      </c>
      <c r="O47" s="65">
        <f t="shared" si="17"/>
        <v>127751.26023000144</v>
      </c>
      <c r="P47" s="65">
        <f t="shared" si="17"/>
        <v>126388.00473666823</v>
      </c>
      <c r="Q47" s="65">
        <f t="shared" si="17"/>
        <v>125028.01052333505</v>
      </c>
      <c r="R47" s="65">
        <f t="shared" si="17"/>
        <v>123671.08575000179</v>
      </c>
      <c r="S47" s="65">
        <f t="shared" si="17"/>
        <v>122317.03857666858</v>
      </c>
      <c r="T47" s="65">
        <f t="shared" si="17"/>
        <v>120965.67716333535</v>
      </c>
      <c r="U47" s="65">
        <f t="shared" si="17"/>
        <v>119616.80967000214</v>
      </c>
      <c r="V47" s="65">
        <f t="shared" si="17"/>
        <v>118270.24425666893</v>
      </c>
      <c r="W47" s="65">
        <f t="shared" si="17"/>
        <v>116925.78908333569</v>
      </c>
      <c r="X47" s="65">
        <f t="shared" si="17"/>
        <v>115583.25231000248</v>
      </c>
      <c r="Y47" s="65">
        <f t="shared" si="17"/>
        <v>114242.44209666927</v>
      </c>
      <c r="Z47" s="65">
        <f t="shared" si="17"/>
        <v>112903.16660333604</v>
      </c>
      <c r="AA47" s="65">
        <f t="shared" si="17"/>
        <v>111565.23399000282</v>
      </c>
      <c r="AB47" s="65">
        <f t="shared" si="17"/>
        <v>110228.45241666959</v>
      </c>
      <c r="AC47" s="65">
        <f t="shared" si="17"/>
        <v>108892.63004333639</v>
      </c>
      <c r="AD47" s="65">
        <f t="shared" si="17"/>
        <v>107557.57503000318</v>
      </c>
      <c r="AE47" s="65">
        <f t="shared" si="17"/>
        <v>106223.09553666996</v>
      </c>
      <c r="AF47" s="65">
        <f t="shared" si="17"/>
        <v>104888.99972333673</v>
      </c>
      <c r="AG47" s="65">
        <f t="shared" si="17"/>
        <v>103555.09575000354</v>
      </c>
      <c r="AH47" s="65">
        <f>9.81*($C10-($C6*$C7-$C8*$C9)*($C4-2*AH46)-$C11+0.06*$C12)+$C5*AH44</f>
        <v>101914.86375</v>
      </c>
      <c r="AI47" s="65">
        <f>9.81*($C10-($C6*$C7-$C8*$C9)*($C4-2*AI46)-$C11+0.06*$C12)+$C5*AI44</f>
        <v>108766.93293000004</v>
      </c>
      <c r="AJ47" s="65">
        <f>9.81*($C10-($C6*$C7-$C8*$C9)*($C4-2*AJ46)-$C11+0.06*$C12)+$C5*AJ44</f>
        <v>101914.86375</v>
      </c>
      <c r="AK47" s="65">
        <f t="shared" si="17"/>
        <v>101914.86375</v>
      </c>
      <c r="AL47" s="65">
        <f>9.81*($C10-($C6*$C7-$C8*$C9)*($C4-2*(AL46+$AG46)+0.06*$C12)-$C11)+$C5*AL44</f>
        <v>88882.466440425065</v>
      </c>
      <c r="AM47" s="65">
        <f t="shared" ref="AM47:CL47" si="18">9.81*($C10-($C6*$C7-$C8*$C9)*($C4-2*(AM46+$AG46)+0.06*$C12)-$C11)+$C5*AM44</f>
        <v>87412.777627495438</v>
      </c>
      <c r="AN47" s="65">
        <f t="shared" si="18"/>
        <v>85943.098931128348</v>
      </c>
      <c r="AO47" s="65">
        <f t="shared" si="18"/>
        <v>84473.427822183119</v>
      </c>
      <c r="AP47" s="65">
        <f t="shared" si="18"/>
        <v>83003.76177151913</v>
      </c>
      <c r="AQ47" s="65">
        <f t="shared" si="18"/>
        <v>81534.098249995805</v>
      </c>
      <c r="AR47" s="65">
        <f t="shared" si="18"/>
        <v>80064.434728472435</v>
      </c>
      <c r="AS47" s="65">
        <f t="shared" si="18"/>
        <v>78594.768677808446</v>
      </c>
      <c r="AT47" s="65">
        <f t="shared" si="18"/>
        <v>77125.097568863202</v>
      </c>
      <c r="AU47" s="65">
        <f t="shared" si="18"/>
        <v>75655.418872496128</v>
      </c>
      <c r="AV47" s="65">
        <f t="shared" si="18"/>
        <v>74185.730059566515</v>
      </c>
      <c r="AW47" s="65">
        <f t="shared" si="18"/>
        <v>72716.028600933787</v>
      </c>
      <c r="AX47" s="65">
        <f>9.81*($C10-($C6*$C7-$C8*$C9)*($C4-2*(AX46+$AG46)+0.06*$C12)-$C11)+$C5*AX44</f>
        <v>71246.311967457281</v>
      </c>
      <c r="AY47" s="65">
        <f t="shared" si="18"/>
        <v>69776.577629996449</v>
      </c>
      <c r="AZ47" s="65">
        <f t="shared" si="18"/>
        <v>68306.823059410613</v>
      </c>
      <c r="BA47" s="65">
        <f t="shared" si="18"/>
        <v>66837.045726559125</v>
      </c>
      <c r="BB47" s="65">
        <f t="shared" si="18"/>
        <v>65367.243102301385</v>
      </c>
      <c r="BC47" s="65">
        <f t="shared" si="18"/>
        <v>63897.412657496767</v>
      </c>
      <c r="BD47" s="65">
        <f t="shared" si="18"/>
        <v>62427.551863004686</v>
      </c>
      <c r="BE47" s="65">
        <f t="shared" si="18"/>
        <v>60957.658189684473</v>
      </c>
      <c r="BF47" s="65">
        <f t="shared" si="18"/>
        <v>59487.729108395484</v>
      </c>
      <c r="BG47" s="65">
        <f t="shared" si="18"/>
        <v>58017.762089997108</v>
      </c>
      <c r="BH47" s="65">
        <f t="shared" si="18"/>
        <v>56547.754605348746</v>
      </c>
      <c r="BI47" s="65">
        <f t="shared" si="18"/>
        <v>55077.704125309785</v>
      </c>
      <c r="BJ47" s="65">
        <f t="shared" si="18"/>
        <v>53607.608120739555</v>
      </c>
      <c r="BK47" s="65">
        <f t="shared" si="18"/>
        <v>52137.464062497427</v>
      </c>
      <c r="BL47" s="65">
        <f t="shared" si="18"/>
        <v>50667.269421442834</v>
      </c>
      <c r="BM47" s="65">
        <f t="shared" si="18"/>
        <v>49197.021668435118</v>
      </c>
      <c r="BN47" s="65">
        <f t="shared" si="18"/>
        <v>47726.718274333623</v>
      </c>
      <c r="BO47" s="65">
        <f t="shared" si="18"/>
        <v>46256.356709997788</v>
      </c>
      <c r="BP47" s="65">
        <f t="shared" si="18"/>
        <v>44785.934446286919</v>
      </c>
      <c r="BQ47" s="65">
        <f t="shared" si="18"/>
        <v>43315.448954060455</v>
      </c>
      <c r="BR47" s="65">
        <f t="shared" si="18"/>
        <v>41844.897704177711</v>
      </c>
      <c r="BS47" s="65">
        <f t="shared" si="18"/>
        <v>40374.278167498138</v>
      </c>
      <c r="BT47" s="65">
        <f t="shared" si="18"/>
        <v>38903.587814881008</v>
      </c>
      <c r="BU47" s="65">
        <f t="shared" si="18"/>
        <v>37432.824117185803</v>
      </c>
      <c r="BV47" s="65">
        <f t="shared" si="18"/>
        <v>35961.984545271815</v>
      </c>
      <c r="BW47" s="65">
        <f t="shared" si="18"/>
        <v>34491.06656999846</v>
      </c>
      <c r="BX47" s="65">
        <f t="shared" si="18"/>
        <v>33020.067662225083</v>
      </c>
      <c r="BY47" s="65">
        <f t="shared" si="18"/>
        <v>31548.985292811092</v>
      </c>
      <c r="BZ47" s="65">
        <f t="shared" si="18"/>
        <v>30077.816932615868</v>
      </c>
      <c r="CA47" s="65">
        <f t="shared" si="18"/>
        <v>28606.560052498775</v>
      </c>
      <c r="CB47" s="65">
        <f t="shared" si="18"/>
        <v>27135.212123319194</v>
      </c>
      <c r="CC47" s="65">
        <f t="shared" si="18"/>
        <v>25663.770615936432</v>
      </c>
      <c r="CD47" s="65">
        <f t="shared" si="18"/>
        <v>24192.23300120997</v>
      </c>
      <c r="CE47" s="65">
        <f t="shared" si="18"/>
        <v>22720.596749999109</v>
      </c>
      <c r="CF47" s="65">
        <f t="shared" si="18"/>
        <v>21248.859333163266</v>
      </c>
      <c r="CG47" s="65">
        <f t="shared" si="18"/>
        <v>19777.018221561804</v>
      </c>
      <c r="CH47" s="65">
        <f t="shared" si="18"/>
        <v>18305.070886054047</v>
      </c>
      <c r="CI47" s="65">
        <f t="shared" si="18"/>
        <v>16833.014797499462</v>
      </c>
      <c r="CJ47" s="65">
        <f t="shared" si="18"/>
        <v>15360.847426757362</v>
      </c>
      <c r="CK47" s="65">
        <f t="shared" si="18"/>
        <v>13888.566244687114</v>
      </c>
      <c r="CL47" s="65">
        <f t="shared" si="18"/>
        <v>12416.168722148126</v>
      </c>
      <c r="CM47" s="65">
        <f>9.81*($C10-($C6*$C7-$C8*$C9)*($C4-2*(CM46+$AG46)+0.06*$C12)-$C11)+$C5*CM44</f>
        <v>10943.652329999793</v>
      </c>
      <c r="CN47" s="65">
        <f>9.81*($C10-($C6*$C7-$C8*$C9)*($C4-2*(CM46+$AK41+CN46))-$C11+0.06*$C12)+$C5*CN44</f>
        <v>40352.384249999785</v>
      </c>
      <c r="CO47" s="65">
        <f t="shared" ref="CO47:DT47" si="19">9.81*($C10-($C6*$C7-$C8*$C9)*($C4-2*(CO46))-$C11)+$C5*CO44</f>
        <v>89762.235750000007</v>
      </c>
      <c r="CP47" s="65">
        <f t="shared" si="19"/>
        <v>89762.235750000007</v>
      </c>
      <c r="CQ47" s="65">
        <f t="shared" si="19"/>
        <v>89762.235750000007</v>
      </c>
      <c r="CR47" s="65">
        <f t="shared" si="19"/>
        <v>89762.235750000007</v>
      </c>
      <c r="CS47" s="65">
        <f t="shared" si="19"/>
        <v>89762.235750000007</v>
      </c>
      <c r="CT47" s="65">
        <f t="shared" si="19"/>
        <v>89762.235750000007</v>
      </c>
      <c r="CU47" s="65">
        <f t="shared" si="19"/>
        <v>89762.235750000007</v>
      </c>
      <c r="CV47" s="65">
        <f t="shared" si="19"/>
        <v>89762.235750000007</v>
      </c>
      <c r="CW47" s="65">
        <f t="shared" si="19"/>
        <v>89762.235750000007</v>
      </c>
      <c r="CX47" s="65">
        <f t="shared" si="19"/>
        <v>89762.235750000007</v>
      </c>
      <c r="CY47" s="65">
        <f t="shared" si="19"/>
        <v>89762.235750000007</v>
      </c>
      <c r="CZ47" s="65">
        <f t="shared" si="19"/>
        <v>89762.235750000007</v>
      </c>
      <c r="DA47" s="65">
        <f t="shared" si="19"/>
        <v>89762.235750000007</v>
      </c>
      <c r="DB47" s="65">
        <f t="shared" si="19"/>
        <v>89762.235750000007</v>
      </c>
      <c r="DC47" s="65">
        <f t="shared" si="19"/>
        <v>89762.235750000007</v>
      </c>
      <c r="DD47" s="65">
        <f t="shared" si="19"/>
        <v>89762.235750000007</v>
      </c>
      <c r="DE47" s="65">
        <f t="shared" si="19"/>
        <v>89762.235750000007</v>
      </c>
      <c r="DF47" s="65">
        <f t="shared" si="19"/>
        <v>89762.235750000007</v>
      </c>
      <c r="DG47" s="65">
        <f t="shared" si="19"/>
        <v>89762.235750000007</v>
      </c>
      <c r="DH47" s="65">
        <f t="shared" si="19"/>
        <v>89762.235750000007</v>
      </c>
      <c r="DI47" s="65">
        <f t="shared" si="19"/>
        <v>89762.235750000007</v>
      </c>
      <c r="DJ47" s="65">
        <f t="shared" si="19"/>
        <v>89762.235750000007</v>
      </c>
      <c r="DK47" s="65">
        <f t="shared" si="19"/>
        <v>89762.235750000007</v>
      </c>
      <c r="DL47" s="65">
        <f t="shared" si="19"/>
        <v>89762.235750000007</v>
      </c>
      <c r="DM47" s="65">
        <f t="shared" si="19"/>
        <v>89762.235750000007</v>
      </c>
      <c r="DN47" s="65">
        <f t="shared" si="19"/>
        <v>89762.235750000007</v>
      </c>
      <c r="DO47" s="65">
        <f t="shared" si="19"/>
        <v>89762.235750000007</v>
      </c>
      <c r="DP47" s="65">
        <f t="shared" si="19"/>
        <v>89762.235750000007</v>
      </c>
      <c r="DQ47" s="65">
        <f t="shared" si="19"/>
        <v>89762.235750000007</v>
      </c>
      <c r="DR47" s="65">
        <f t="shared" si="19"/>
        <v>89762.235750000007</v>
      </c>
      <c r="DS47" s="65">
        <f t="shared" si="19"/>
        <v>89762.235750000007</v>
      </c>
      <c r="DT47" s="65">
        <f t="shared" si="19"/>
        <v>89762.235750000007</v>
      </c>
      <c r="DU47" s="65">
        <f t="shared" ref="DU47:EZ47" si="20">9.81*($C10-($C6*$C7-$C8*$C9)*($C4-2*(DU46))-$C11)+$C5*DU44</f>
        <v>89762.235750000007</v>
      </c>
      <c r="DV47" s="65">
        <f t="shared" si="20"/>
        <v>89762.235750000007</v>
      </c>
      <c r="DW47" s="65">
        <f t="shared" si="20"/>
        <v>89762.235750000007</v>
      </c>
      <c r="DX47" s="65">
        <f t="shared" si="20"/>
        <v>89762.235750000007</v>
      </c>
      <c r="DY47" s="65">
        <f t="shared" si="20"/>
        <v>89762.235750000007</v>
      </c>
      <c r="DZ47" s="65">
        <f t="shared" si="20"/>
        <v>89762.235750000007</v>
      </c>
      <c r="EA47" s="65">
        <f t="shared" si="20"/>
        <v>89762.235750000007</v>
      </c>
      <c r="EB47" s="65">
        <f t="shared" si="20"/>
        <v>89762.235750000007</v>
      </c>
      <c r="EC47" s="65">
        <f t="shared" si="20"/>
        <v>89762.235750000007</v>
      </c>
      <c r="ED47" s="65">
        <f t="shared" si="20"/>
        <v>89762.235750000007</v>
      </c>
      <c r="EE47" s="65">
        <f t="shared" si="20"/>
        <v>89762.235750000007</v>
      </c>
      <c r="EF47" s="65">
        <f t="shared" si="20"/>
        <v>89762.235750000007</v>
      </c>
      <c r="EG47" s="65">
        <f t="shared" si="20"/>
        <v>89762.235750000007</v>
      </c>
      <c r="EH47" s="65">
        <f t="shared" si="20"/>
        <v>89762.235750000007</v>
      </c>
      <c r="EI47" s="65">
        <f t="shared" si="20"/>
        <v>89762.235750000007</v>
      </c>
      <c r="EJ47" s="65">
        <f t="shared" si="20"/>
        <v>89762.235750000007</v>
      </c>
      <c r="EK47" s="65">
        <f t="shared" si="20"/>
        <v>89762.235750000007</v>
      </c>
      <c r="EL47" s="65">
        <f t="shared" si="20"/>
        <v>89762.235750000007</v>
      </c>
      <c r="EM47" s="65">
        <f t="shared" si="20"/>
        <v>89762.235750000007</v>
      </c>
      <c r="EN47" s="65">
        <f t="shared" si="20"/>
        <v>89762.235750000007</v>
      </c>
      <c r="EO47" s="65">
        <f t="shared" si="20"/>
        <v>89762.235750000007</v>
      </c>
      <c r="EP47" s="65">
        <f t="shared" si="20"/>
        <v>89762.235750000007</v>
      </c>
      <c r="EQ47" s="65">
        <f t="shared" si="20"/>
        <v>89762.235750000007</v>
      </c>
      <c r="ER47" s="65">
        <f t="shared" si="20"/>
        <v>89762.235750000007</v>
      </c>
      <c r="ES47" s="65">
        <f t="shared" si="20"/>
        <v>89762.235750000007</v>
      </c>
      <c r="ET47" s="65">
        <f t="shared" si="20"/>
        <v>89762.235750000007</v>
      </c>
      <c r="EU47" s="65">
        <f t="shared" si="20"/>
        <v>89762.235750000007</v>
      </c>
      <c r="EV47" s="65">
        <f t="shared" si="20"/>
        <v>89762.235750000007</v>
      </c>
      <c r="EW47" s="65">
        <f t="shared" si="20"/>
        <v>89762.235750000007</v>
      </c>
      <c r="EX47" s="65">
        <f t="shared" si="20"/>
        <v>89762.235750000007</v>
      </c>
      <c r="EY47" s="65">
        <f t="shared" si="20"/>
        <v>89762.235750000007</v>
      </c>
      <c r="EZ47" s="65">
        <f t="shared" si="20"/>
        <v>89762.235750000007</v>
      </c>
      <c r="FA47" s="65">
        <f t="shared" ref="FA47:GF47" si="21">9.81*($C10-($C6*$C7-$C8*$C9)*($C4-2*(FA46))-$C11)+$C5*FA44</f>
        <v>89762.235750000007</v>
      </c>
      <c r="FB47" s="65">
        <f t="shared" si="21"/>
        <v>89762.235750000007</v>
      </c>
      <c r="FC47" s="65">
        <f t="shared" si="21"/>
        <v>89762.235750000007</v>
      </c>
      <c r="FD47" s="65">
        <f t="shared" si="21"/>
        <v>89762.235750000007</v>
      </c>
      <c r="FE47" s="65">
        <f t="shared" si="21"/>
        <v>89762.235750000007</v>
      </c>
      <c r="FF47" s="65">
        <f t="shared" si="21"/>
        <v>89762.235750000007</v>
      </c>
      <c r="FG47" s="65">
        <f t="shared" si="21"/>
        <v>89762.235750000007</v>
      </c>
      <c r="FH47" s="65">
        <f t="shared" si="21"/>
        <v>89762.235750000007</v>
      </c>
      <c r="FI47" s="65">
        <f t="shared" si="21"/>
        <v>89762.235750000007</v>
      </c>
      <c r="FJ47" s="65">
        <f t="shared" si="21"/>
        <v>89762.235750000007</v>
      </c>
      <c r="FK47" s="65">
        <f t="shared" si="21"/>
        <v>89762.235750000007</v>
      </c>
      <c r="FL47" s="65">
        <f t="shared" si="21"/>
        <v>89762.235750000007</v>
      </c>
      <c r="FM47" s="65">
        <f t="shared" si="21"/>
        <v>89762.235750000007</v>
      </c>
      <c r="FN47" s="65">
        <f t="shared" si="21"/>
        <v>89762.235750000007</v>
      </c>
      <c r="FO47" s="65">
        <f t="shared" si="21"/>
        <v>89762.235750000007</v>
      </c>
      <c r="FP47" s="65">
        <f t="shared" si="21"/>
        <v>89762.235750000007</v>
      </c>
      <c r="FQ47" s="65">
        <f t="shared" si="21"/>
        <v>89762.235750000007</v>
      </c>
      <c r="FR47" s="65">
        <f t="shared" si="21"/>
        <v>89762.235750000007</v>
      </c>
      <c r="FS47" s="65">
        <f t="shared" si="21"/>
        <v>89762.235750000007</v>
      </c>
      <c r="FT47" s="65">
        <f t="shared" si="21"/>
        <v>89762.235750000007</v>
      </c>
      <c r="FU47" s="65">
        <f t="shared" si="21"/>
        <v>89762.235750000007</v>
      </c>
      <c r="FV47" s="65">
        <f t="shared" si="21"/>
        <v>89762.235750000007</v>
      </c>
      <c r="FW47" s="65">
        <f t="shared" si="21"/>
        <v>89762.235750000007</v>
      </c>
      <c r="FX47" s="65">
        <f t="shared" si="21"/>
        <v>89762.235750000007</v>
      </c>
      <c r="FY47" s="65">
        <f t="shared" si="21"/>
        <v>89762.235750000007</v>
      </c>
      <c r="FZ47" s="65">
        <f t="shared" si="21"/>
        <v>89762.235750000007</v>
      </c>
      <c r="GA47" s="65">
        <f t="shared" si="21"/>
        <v>89762.235750000007</v>
      </c>
      <c r="GB47" s="65">
        <f t="shared" si="21"/>
        <v>89762.235750000007</v>
      </c>
      <c r="GC47" s="65">
        <f t="shared" si="21"/>
        <v>89762.235750000007</v>
      </c>
      <c r="GD47" s="65">
        <f t="shared" si="21"/>
        <v>89762.235750000007</v>
      </c>
      <c r="GE47" s="65">
        <f t="shared" si="21"/>
        <v>89762.235750000007</v>
      </c>
      <c r="GF47" s="65">
        <f t="shared" si="21"/>
        <v>89762.235750000007</v>
      </c>
      <c r="GG47" s="65">
        <f t="shared" ref="GG47:HL47" si="22">9.81*($C10-($C6*$C7-$C8*$C9)*($C4-2*(GG46))-$C11)+$C5*GG44</f>
        <v>89762.235750000007</v>
      </c>
      <c r="GH47" s="65">
        <f t="shared" si="22"/>
        <v>89762.235750000007</v>
      </c>
      <c r="GI47" s="65">
        <f t="shared" si="22"/>
        <v>89762.235750000007</v>
      </c>
      <c r="GJ47" s="65">
        <f t="shared" si="22"/>
        <v>89762.235750000007</v>
      </c>
      <c r="GK47" s="65">
        <f t="shared" si="22"/>
        <v>89762.235750000007</v>
      </c>
      <c r="GL47" s="65">
        <f t="shared" si="22"/>
        <v>89762.235750000007</v>
      </c>
      <c r="GM47" s="65">
        <f t="shared" si="22"/>
        <v>89762.235750000007</v>
      </c>
      <c r="GN47" s="65">
        <f t="shared" si="22"/>
        <v>89762.235750000007</v>
      </c>
      <c r="GO47" s="65">
        <f t="shared" si="22"/>
        <v>89762.235750000007</v>
      </c>
      <c r="GP47" s="65">
        <f t="shared" si="22"/>
        <v>89762.235750000007</v>
      </c>
      <c r="GQ47" s="65">
        <f t="shared" si="22"/>
        <v>89762.235750000007</v>
      </c>
      <c r="GR47" s="65">
        <f t="shared" si="22"/>
        <v>89762.235750000007</v>
      </c>
      <c r="GS47" s="65">
        <f t="shared" si="22"/>
        <v>89762.235750000007</v>
      </c>
      <c r="GT47" s="65">
        <f t="shared" si="22"/>
        <v>89762.235750000007</v>
      </c>
      <c r="GU47" s="65">
        <f t="shared" si="22"/>
        <v>89762.235750000007</v>
      </c>
      <c r="GV47" s="65">
        <f t="shared" si="22"/>
        <v>89762.235750000007</v>
      </c>
      <c r="GW47" s="65">
        <f t="shared" si="22"/>
        <v>89762.235750000007</v>
      </c>
      <c r="GX47" s="65">
        <f t="shared" si="22"/>
        <v>89762.235750000007</v>
      </c>
      <c r="GY47" s="65">
        <f t="shared" si="22"/>
        <v>89762.235750000007</v>
      </c>
      <c r="GZ47" s="65">
        <f t="shared" si="22"/>
        <v>89762.235750000007</v>
      </c>
      <c r="HA47" s="65">
        <f t="shared" si="22"/>
        <v>89762.235750000007</v>
      </c>
      <c r="HB47" s="65">
        <f t="shared" si="22"/>
        <v>89762.235750000007</v>
      </c>
      <c r="HC47" s="65">
        <f t="shared" si="22"/>
        <v>89762.235750000007</v>
      </c>
      <c r="HD47" s="65">
        <f t="shared" si="22"/>
        <v>89762.235750000007</v>
      </c>
      <c r="HE47" s="65">
        <f t="shared" si="22"/>
        <v>89762.235750000007</v>
      </c>
      <c r="HF47" s="65">
        <f t="shared" si="22"/>
        <v>89762.235750000007</v>
      </c>
      <c r="HG47" s="65">
        <f t="shared" si="22"/>
        <v>89762.235750000007</v>
      </c>
      <c r="HH47" s="65">
        <f t="shared" si="22"/>
        <v>89762.235750000007</v>
      </c>
      <c r="HI47" s="65">
        <f t="shared" si="22"/>
        <v>89762.235750000007</v>
      </c>
      <c r="HJ47" s="65">
        <f t="shared" si="22"/>
        <v>89762.235750000007</v>
      </c>
      <c r="HK47" s="65">
        <f t="shared" si="22"/>
        <v>89762.235750000007</v>
      </c>
      <c r="HL47" s="65">
        <f t="shared" si="22"/>
        <v>89762.235750000007</v>
      </c>
      <c r="HM47" s="65">
        <f t="shared" ref="HM47:IR47" si="23">9.81*($C10-($C6*$C7-$C8*$C9)*($C4-2*(HM46))-$C11)+$C5*HM44</f>
        <v>89762.235750000007</v>
      </c>
      <c r="HN47" s="65">
        <f t="shared" si="23"/>
        <v>89762.235750000007</v>
      </c>
      <c r="HO47" s="65">
        <f t="shared" si="23"/>
        <v>89762.235750000007</v>
      </c>
      <c r="HP47" s="65">
        <f t="shared" si="23"/>
        <v>89762.235750000007</v>
      </c>
      <c r="HQ47" s="65">
        <f t="shared" si="23"/>
        <v>89762.235750000007</v>
      </c>
      <c r="HR47" s="65">
        <f t="shared" si="23"/>
        <v>89762.235750000007</v>
      </c>
      <c r="HS47" s="65">
        <f t="shared" si="23"/>
        <v>89762.235750000007</v>
      </c>
      <c r="HT47" s="65">
        <f t="shared" si="23"/>
        <v>89762.235750000007</v>
      </c>
      <c r="HU47" s="65">
        <f t="shared" si="23"/>
        <v>89762.235750000007</v>
      </c>
      <c r="HV47" s="65">
        <f t="shared" si="23"/>
        <v>89762.235750000007</v>
      </c>
      <c r="HW47" s="65">
        <f t="shared" si="23"/>
        <v>89762.235750000007</v>
      </c>
      <c r="HX47" s="65">
        <f t="shared" si="23"/>
        <v>89762.235750000007</v>
      </c>
      <c r="HY47" s="65">
        <f t="shared" si="23"/>
        <v>89762.235750000007</v>
      </c>
      <c r="HZ47" s="65">
        <f t="shared" si="23"/>
        <v>89762.235750000007</v>
      </c>
      <c r="IA47" s="65">
        <f t="shared" si="23"/>
        <v>89762.235750000007</v>
      </c>
      <c r="IB47" s="65">
        <f t="shared" si="23"/>
        <v>89762.235750000007</v>
      </c>
      <c r="IC47" s="65">
        <f t="shared" si="23"/>
        <v>89762.235750000007</v>
      </c>
      <c r="ID47" s="65">
        <f t="shared" si="23"/>
        <v>89762.235750000007</v>
      </c>
      <c r="IE47" s="65">
        <f t="shared" si="23"/>
        <v>89762.235750000007</v>
      </c>
      <c r="IF47" s="65">
        <f t="shared" si="23"/>
        <v>89762.235750000007</v>
      </c>
      <c r="IG47" s="65">
        <f t="shared" si="23"/>
        <v>89762.235750000007</v>
      </c>
      <c r="IH47" s="65">
        <f t="shared" si="23"/>
        <v>89762.235750000007</v>
      </c>
      <c r="II47" s="65">
        <f t="shared" si="23"/>
        <v>89762.235750000007</v>
      </c>
      <c r="IJ47" s="65">
        <f t="shared" si="23"/>
        <v>89762.235750000007</v>
      </c>
      <c r="IK47" s="65">
        <f t="shared" si="23"/>
        <v>89762.235750000007</v>
      </c>
      <c r="IL47" s="65">
        <f t="shared" si="23"/>
        <v>89762.235750000007</v>
      </c>
      <c r="IM47" s="65">
        <f t="shared" si="23"/>
        <v>89762.235750000007</v>
      </c>
      <c r="IN47" s="65">
        <f t="shared" si="23"/>
        <v>89762.235750000007</v>
      </c>
      <c r="IO47" s="65">
        <f t="shared" si="23"/>
        <v>89762.235750000007</v>
      </c>
      <c r="IP47" s="65">
        <f t="shared" si="23"/>
        <v>89762.235750000007</v>
      </c>
      <c r="IQ47" s="65">
        <f t="shared" si="23"/>
        <v>89762.235750000007</v>
      </c>
      <c r="IR47" s="65">
        <f t="shared" si="23"/>
        <v>89762.235750000007</v>
      </c>
      <c r="IS47" s="65">
        <f>9.81*($C10-($C6*$C7-$C8*$C9)*($C4-2*(IS46))-$C11)+$C5*IS44</f>
        <v>89762.235750000007</v>
      </c>
      <c r="IT47" s="65">
        <f>9.81*($C10-($C6*$C7-$C8*$C9)*($C4-2*(IT46))-$C11)+$C5*IT44</f>
        <v>89762.235750000007</v>
      </c>
      <c r="IU47" s="65">
        <f>9.81*($C10-($C6*$C7-$C8*$C9)*($C4-2*(IU46))-$C11)+$C5*IU44</f>
        <v>89762.235750000007</v>
      </c>
      <c r="IV47" s="65">
        <f>9.81*($C10-($C6*$C7-$C8*$C9)*($C4-2*(IV46))-$C11)+$C5*IV44</f>
        <v>89762.235750000007</v>
      </c>
    </row>
    <row r="48" spans="1:256" s="65" customFormat="1">
      <c r="B48" s="65" t="s">
        <v>84</v>
      </c>
      <c r="C48" s="65">
        <f t="shared" ref="C48:AG48" si="24">(C47*C45)/1000</f>
        <v>0</v>
      </c>
      <c r="D48" s="65">
        <f t="shared" si="24"/>
        <v>56.253424674817389</v>
      </c>
      <c r="E48" s="65">
        <f t="shared" si="24"/>
        <v>109.50816854763531</v>
      </c>
      <c r="F48" s="65">
        <f t="shared" si="24"/>
        <v>159.82682679178708</v>
      </c>
      <c r="G48" s="65">
        <f t="shared" si="24"/>
        <v>207.27127837793932</v>
      </c>
      <c r="H48" s="65">
        <f t="shared" si="24"/>
        <v>251.90271165275871</v>
      </c>
      <c r="I48" s="65">
        <f t="shared" si="24"/>
        <v>293.78164991757859</v>
      </c>
      <c r="J48" s="65">
        <f t="shared" si="24"/>
        <v>332.96797700706549</v>
      </c>
      <c r="K48" s="65">
        <f t="shared" si="24"/>
        <v>369.52096286788623</v>
      </c>
      <c r="L48" s="65">
        <f t="shared" si="24"/>
        <v>403.49928913737398</v>
      </c>
      <c r="M48" s="65">
        <f t="shared" si="24"/>
        <v>434.96107472219552</v>
      </c>
      <c r="N48" s="65">
        <f t="shared" si="24"/>
        <v>463.96390137701752</v>
      </c>
      <c r="O48" s="65">
        <f t="shared" si="24"/>
        <v>490.56483928317311</v>
      </c>
      <c r="P48" s="65">
        <f t="shared" si="24"/>
        <v>514.82047262732908</v>
      </c>
      <c r="Q48" s="65">
        <f t="shared" si="24"/>
        <v>536.78692518015214</v>
      </c>
      <c r="R48" s="65">
        <f t="shared" si="24"/>
        <v>556.51988587497544</v>
      </c>
      <c r="S48" s="65">
        <f t="shared" si="24"/>
        <v>574.07463438646573</v>
      </c>
      <c r="T48" s="65">
        <f t="shared" si="24"/>
        <v>589.5060667092896</v>
      </c>
      <c r="U48" s="65">
        <f t="shared" si="24"/>
        <v>602.86872073678057</v>
      </c>
      <c r="V48" s="65">
        <f t="shared" si="24"/>
        <v>614.21680183960484</v>
      </c>
      <c r="W48" s="65">
        <f t="shared" si="24"/>
        <v>623.60420844442967</v>
      </c>
      <c r="X48" s="65">
        <f t="shared" si="24"/>
        <v>631.08455761258779</v>
      </c>
      <c r="Y48" s="65">
        <f t="shared" si="24"/>
        <v>636.71121061874658</v>
      </c>
      <c r="Z48" s="65">
        <f t="shared" si="24"/>
        <v>640.53729852957201</v>
      </c>
      <c r="AA48" s="65">
        <f t="shared" si="24"/>
        <v>642.61574778239731</v>
      </c>
      <c r="AB48" s="65">
        <f t="shared" si="24"/>
        <v>642.99930576388988</v>
      </c>
      <c r="AC48" s="65">
        <f t="shared" si="24"/>
        <v>641.74056638871582</v>
      </c>
      <c r="AD48" s="65">
        <f t="shared" si="24"/>
        <v>638.89199567820867</v>
      </c>
      <c r="AE48" s="65">
        <f t="shared" si="24"/>
        <v>634.50595733903504</v>
      </c>
      <c r="AF48" s="65">
        <f t="shared" si="24"/>
        <v>628.63473834186118</v>
      </c>
      <c r="AG48" s="65">
        <f t="shared" si="24"/>
        <v>621.33057450002127</v>
      </c>
      <c r="AH48" s="65">
        <f>(AH47*AH45)/1000</f>
        <v>611.48918249999997</v>
      </c>
      <c r="AI48" s="65">
        <f>(AI47*AI45)/1000</f>
        <v>652.60159758000032</v>
      </c>
      <c r="AJ48" s="65">
        <f>(AJ47*AJ45)/1000</f>
        <v>611.48918249999997</v>
      </c>
      <c r="AK48" s="65">
        <f>(AK47*AK45)/1000</f>
        <v>611.48918249999997</v>
      </c>
      <c r="AL48" s="65">
        <f t="shared" ref="AL48:BO48" si="25">(AL45*AL47)/1000</f>
        <v>531.55881296988787</v>
      </c>
      <c r="AM48" s="65">
        <f t="shared" si="25"/>
        <v>523.3840060446305</v>
      </c>
      <c r="AN48" s="65">
        <f t="shared" si="25"/>
        <v>515.05430617241177</v>
      </c>
      <c r="AO48" s="65">
        <f t="shared" si="25"/>
        <v>506.57658747115516</v>
      </c>
      <c r="AP48" s="65">
        <f t="shared" si="25"/>
        <v>497.95772394023112</v>
      </c>
      <c r="AQ48" s="65">
        <f t="shared" si="25"/>
        <v>489.20458949997487</v>
      </c>
      <c r="AR48" s="65">
        <f t="shared" si="25"/>
        <v>480.3240580312027</v>
      </c>
      <c r="AS48" s="65">
        <f t="shared" si="25"/>
        <v>471.32300341473194</v>
      </c>
      <c r="AT48" s="65">
        <f t="shared" si="25"/>
        <v>462.20829957089717</v>
      </c>
      <c r="AU48" s="65">
        <f t="shared" si="25"/>
        <v>452.98682049906938</v>
      </c>
      <c r="AV48" s="65">
        <f t="shared" si="25"/>
        <v>443.66544031717183</v>
      </c>
      <c r="AW48" s="65">
        <f>(AW45*AW47)/1000</f>
        <v>434.25103330119987</v>
      </c>
      <c r="AX48" s="65">
        <f t="shared" si="25"/>
        <v>424.75047392473766</v>
      </c>
      <c r="AY48" s="65">
        <f t="shared" si="25"/>
        <v>415.17063689847691</v>
      </c>
      <c r="AZ48" s="65">
        <f t="shared" si="25"/>
        <v>405.51839720973322</v>
      </c>
      <c r="BA48" s="65">
        <f t="shared" si="25"/>
        <v>395.80063016196505</v>
      </c>
      <c r="BB48" s="65">
        <f t="shared" si="25"/>
        <v>386.02421141429153</v>
      </c>
      <c r="BC48" s="65">
        <f t="shared" si="25"/>
        <v>376.19601702100977</v>
      </c>
      <c r="BD48" s="65">
        <f t="shared" si="25"/>
        <v>366.32292347111326</v>
      </c>
      <c r="BE48" s="65">
        <f t="shared" si="25"/>
        <v>356.41180772780882</v>
      </c>
      <c r="BF48" s="65">
        <f t="shared" si="25"/>
        <v>346.46954726803517</v>
      </c>
      <c r="BG48" s="65">
        <f t="shared" si="25"/>
        <v>336.50302012198057</v>
      </c>
      <c r="BH48" s="65">
        <f t="shared" si="25"/>
        <v>326.51910491260094</v>
      </c>
      <c r="BI48" s="65">
        <f t="shared" si="25"/>
        <v>316.52468089513701</v>
      </c>
      <c r="BJ48" s="65">
        <f t="shared" si="25"/>
        <v>306.52662799663239</v>
      </c>
      <c r="BK48" s="65">
        <f t="shared" si="25"/>
        <v>296.53182685545153</v>
      </c>
      <c r="BL48" s="65">
        <f t="shared" si="25"/>
        <v>286.54715886079794</v>
      </c>
      <c r="BM48" s="65">
        <f t="shared" si="25"/>
        <v>276.57950619223118</v>
      </c>
      <c r="BN48" s="65">
        <f t="shared" si="25"/>
        <v>266.63575185918484</v>
      </c>
      <c r="BO48" s="65">
        <f t="shared" si="25"/>
        <v>256.72277974048535</v>
      </c>
      <c r="BP48" s="65">
        <f t="shared" ref="BP48:CN48" si="26">(BP45*BP47)/1000</f>
        <v>246.84747462386821</v>
      </c>
      <c r="BQ48" s="65">
        <f t="shared" si="26"/>
        <v>237.01672224549736</v>
      </c>
      <c r="BR48" s="65">
        <f t="shared" si="26"/>
        <v>227.23740932948169</v>
      </c>
      <c r="BS48" s="65">
        <f t="shared" si="26"/>
        <v>217.51642362739423</v>
      </c>
      <c r="BT48" s="65">
        <f t="shared" si="26"/>
        <v>207.86065395778812</v>
      </c>
      <c r="BU48" s="65">
        <f t="shared" si="26"/>
        <v>198.27699024571677</v>
      </c>
      <c r="BV48" s="65">
        <f t="shared" si="26"/>
        <v>188.77232356224934</v>
      </c>
      <c r="BW48" s="65">
        <f t="shared" si="26"/>
        <v>179.35354616399042</v>
      </c>
      <c r="BX48" s="65">
        <f t="shared" si="26"/>
        <v>170.02755153259662</v>
      </c>
      <c r="BY48" s="65">
        <f t="shared" si="26"/>
        <v>160.80123441429521</v>
      </c>
      <c r="BZ48" s="65">
        <f t="shared" si="26"/>
        <v>151.68149085940144</v>
      </c>
      <c r="CA48" s="65">
        <f t="shared" si="26"/>
        <v>142.67521826183653</v>
      </c>
      <c r="CB48" s="65">
        <f t="shared" si="26"/>
        <v>133.78931539864544</v>
      </c>
      <c r="CC48" s="65">
        <f t="shared" si="26"/>
        <v>125.03068246951445</v>
      </c>
      <c r="CD48" s="65">
        <f t="shared" si="26"/>
        <v>116.40622113629003</v>
      </c>
      <c r="CE48" s="65">
        <f t="shared" si="26"/>
        <v>107.92283456249511</v>
      </c>
      <c r="CF48" s="65">
        <f t="shared" si="26"/>
        <v>99.587427452848218</v>
      </c>
      <c r="CG48" s="65">
        <f t="shared" si="26"/>
        <v>91.406906092780531</v>
      </c>
      <c r="CH48" s="65">
        <f t="shared" si="26"/>
        <v>83.388178387953673</v>
      </c>
      <c r="CI48" s="65">
        <f t="shared" si="26"/>
        <v>75.538153903778564</v>
      </c>
      <c r="CJ48" s="65">
        <f t="shared" si="26"/>
        <v>67.863743904931752</v>
      </c>
      <c r="CK48" s="65">
        <f t="shared" si="26"/>
        <v>60.371861394874188</v>
      </c>
      <c r="CL48" s="65">
        <f t="shared" si="26"/>
        <v>53.069421155369014</v>
      </c>
      <c r="CM48" s="65">
        <f t="shared" si="26"/>
        <v>45.963339785999125</v>
      </c>
      <c r="CN48" s="65">
        <f t="shared" si="26"/>
        <v>0</v>
      </c>
    </row>
    <row r="49" spans="1:256" s="65" customFormat="1">
      <c r="B49" s="65" t="s">
        <v>57</v>
      </c>
      <c r="C49" s="65">
        <f t="shared" ref="C49:AG49" si="27">(C47*C45)/(1000*$C14*$C15*$C16*$C13)</f>
        <v>0</v>
      </c>
      <c r="D49" s="65">
        <f t="shared" si="27"/>
        <v>68.390020254149064</v>
      </c>
      <c r="E49" s="65">
        <f t="shared" si="27"/>
        <v>133.13439863013744</v>
      </c>
      <c r="F49" s="65">
        <f t="shared" si="27"/>
        <v>194.3092351200425</v>
      </c>
      <c r="G49" s="65">
        <f t="shared" si="27"/>
        <v>251.98975899357822</v>
      </c>
      <c r="H49" s="65">
        <f t="shared" si="27"/>
        <v>306.2503598953225</v>
      </c>
      <c r="I49" s="65">
        <f t="shared" si="27"/>
        <v>357.16461894194452</v>
      </c>
      <c r="J49" s="65">
        <f t="shared" si="27"/>
        <v>404.80533981943154</v>
      </c>
      <c r="K49" s="65">
        <f t="shared" si="27"/>
        <v>449.24457988031713</v>
      </c>
      <c r="L49" s="65">
        <f t="shared" si="27"/>
        <v>490.55368124090722</v>
      </c>
      <c r="M49" s="65">
        <f t="shared" si="27"/>
        <v>528.80330187850848</v>
      </c>
      <c r="N49" s="65">
        <f t="shared" si="27"/>
        <v>564.06344672865464</v>
      </c>
      <c r="O49" s="65">
        <f t="shared" si="27"/>
        <v>596.40349878233428</v>
      </c>
      <c r="P49" s="65">
        <f t="shared" si="27"/>
        <v>625.89225018321827</v>
      </c>
      <c r="Q49" s="65">
        <f t="shared" si="27"/>
        <v>652.59793332488653</v>
      </c>
      <c r="R49" s="65">
        <f t="shared" si="27"/>
        <v>676.58825194805524</v>
      </c>
      <c r="S49" s="65">
        <f t="shared" si="27"/>
        <v>697.93041223780506</v>
      </c>
      <c r="T49" s="65">
        <f t="shared" si="27"/>
        <v>716.69115392080687</v>
      </c>
      <c r="U49" s="65">
        <f t="shared" si="27"/>
        <v>732.93678136255085</v>
      </c>
      <c r="V49" s="65">
        <f t="shared" si="27"/>
        <v>746.73319466457178</v>
      </c>
      <c r="W49" s="65">
        <f t="shared" si="27"/>
        <v>758.14592076167821</v>
      </c>
      <c r="X49" s="65">
        <f t="shared" si="27"/>
        <v>767.24014451917787</v>
      </c>
      <c r="Y49" s="65">
        <f t="shared" si="27"/>
        <v>774.08073983010718</v>
      </c>
      <c r="Z49" s="65">
        <f t="shared" si="27"/>
        <v>778.73230071245541</v>
      </c>
      <c r="AA49" s="65">
        <f t="shared" si="27"/>
        <v>781.25917240639478</v>
      </c>
      <c r="AB49" s="65">
        <f t="shared" si="27"/>
        <v>781.72548247150735</v>
      </c>
      <c r="AC49" s="65">
        <f t="shared" si="27"/>
        <v>780.19517188401016</v>
      </c>
      <c r="AD49" s="65">
        <f t="shared" si="27"/>
        <v>776.73202613398485</v>
      </c>
      <c r="AE49" s="65">
        <f t="shared" si="27"/>
        <v>771.39970632260372</v>
      </c>
      <c r="AF49" s="65">
        <f t="shared" si="27"/>
        <v>764.26178025935701</v>
      </c>
      <c r="AG49" s="65">
        <f t="shared" si="27"/>
        <v>755.38175355928172</v>
      </c>
      <c r="AH49" s="65">
        <f>(AH47*AH45)/(1000*$C14*$C15*$C16*$C13)</f>
        <v>743.41709537000395</v>
      </c>
      <c r="AI49" s="65">
        <f>(AI47*AI45)/(1000*$C14*$C15*$C16*$C13)</f>
        <v>793.39945495560426</v>
      </c>
      <c r="AJ49" s="65">
        <f>(AJ47*AJ45)/(1000*$C14*$C15*$C16*$C13)</f>
        <v>743.41709537000395</v>
      </c>
      <c r="AK49" s="108">
        <f>(AK47*AK45)/(1000*$C14*$C15*$C16*$C13)</f>
        <v>743.41709537000395</v>
      </c>
      <c r="AL49" s="65">
        <f t="shared" ref="AL49:BN49" si="28">(AL47*AL45)/(1000*$C14*$C15*$C16*$C13)</f>
        <v>646.24186341415975</v>
      </c>
      <c r="AM49" s="65">
        <f t="shared" si="28"/>
        <v>636.30335363588517</v>
      </c>
      <c r="AN49" s="65">
        <f t="shared" si="28"/>
        <v>626.17653297980792</v>
      </c>
      <c r="AO49" s="65">
        <f t="shared" si="28"/>
        <v>615.86975864492081</v>
      </c>
      <c r="AP49" s="65">
        <f t="shared" si="28"/>
        <v>605.39138768608541</v>
      </c>
      <c r="AQ49" s="65">
        <f t="shared" si="28"/>
        <v>594.74977706207653</v>
      </c>
      <c r="AR49" s="65">
        <f t="shared" si="28"/>
        <v>583.95328368362414</v>
      </c>
      <c r="AS49" s="65">
        <f t="shared" si="28"/>
        <v>573.0102644614592</v>
      </c>
      <c r="AT49" s="65">
        <f t="shared" si="28"/>
        <v>561.92907635435563</v>
      </c>
      <c r="AU49" s="65">
        <f t="shared" si="28"/>
        <v>550.71807641717612</v>
      </c>
      <c r="AV49" s="65">
        <f t="shared" si="28"/>
        <v>539.38562184891259</v>
      </c>
      <c r="AW49" s="65">
        <f t="shared" si="28"/>
        <v>527.94007004073342</v>
      </c>
      <c r="AX49" s="65">
        <f t="shared" si="28"/>
        <v>516.3897786240251</v>
      </c>
      <c r="AY49" s="65">
        <f t="shared" si="28"/>
        <v>504.74310551843706</v>
      </c>
      <c r="AZ49" s="65">
        <f t="shared" si="28"/>
        <v>493.00840897992396</v>
      </c>
      <c r="BA49" s="65">
        <f t="shared" si="28"/>
        <v>481.19404764879096</v>
      </c>
      <c r="BB49" s="65">
        <f t="shared" si="28"/>
        <v>469.3083805977368</v>
      </c>
      <c r="BC49" s="65">
        <f t="shared" si="28"/>
        <v>457.35976737989745</v>
      </c>
      <c r="BD49" s="65">
        <f t="shared" si="28"/>
        <v>445.35656807689031</v>
      </c>
      <c r="BE49" s="65">
        <f t="shared" si="28"/>
        <v>433.30714334685712</v>
      </c>
      <c r="BF49" s="65">
        <f t="shared" si="28"/>
        <v>421.21985447250819</v>
      </c>
      <c r="BG49" s="65">
        <f t="shared" si="28"/>
        <v>409.10306340916634</v>
      </c>
      <c r="BH49" s="65">
        <f t="shared" si="28"/>
        <v>396.96513283281081</v>
      </c>
      <c r="BI49" s="65">
        <f t="shared" si="28"/>
        <v>384.81442618812008</v>
      </c>
      <c r="BJ49" s="65">
        <f t="shared" si="28"/>
        <v>372.6593077365161</v>
      </c>
      <c r="BK49" s="65">
        <f t="shared" si="28"/>
        <v>360.50814260420822</v>
      </c>
      <c r="BL49" s="65">
        <f t="shared" si="28"/>
        <v>348.36929683023703</v>
      </c>
      <c r="BM49" s="65">
        <f t="shared" si="28"/>
        <v>336.25113741451764</v>
      </c>
      <c r="BN49" s="65">
        <f t="shared" si="28"/>
        <v>324.16203236588296</v>
      </c>
      <c r="BO49" s="65">
        <f t="shared" ref="BO49:CN49" si="29">(BO47*BO45)/(1000*$C14*$C15*$C16*$C13)</f>
        <v>312.11035075012944</v>
      </c>
      <c r="BP49" s="65">
        <f t="shared" si="29"/>
        <v>300.10446273805809</v>
      </c>
      <c r="BQ49" s="65">
        <f t="shared" si="29"/>
        <v>288.1527396535206</v>
      </c>
      <c r="BR49" s="65">
        <f t="shared" si="29"/>
        <v>276.26355402146123</v>
      </c>
      <c r="BS49" s="65">
        <f t="shared" si="29"/>
        <v>264.44527961596231</v>
      </c>
      <c r="BT49" s="65">
        <f t="shared" si="29"/>
        <v>252.70629150828574</v>
      </c>
      <c r="BU49" s="65">
        <f t="shared" si="29"/>
        <v>241.05496611491955</v>
      </c>
      <c r="BV49" s="65">
        <f t="shared" si="29"/>
        <v>229.49968124561869</v>
      </c>
      <c r="BW49" s="65">
        <f t="shared" si="29"/>
        <v>218.04881615145118</v>
      </c>
      <c r="BX49" s="65">
        <f t="shared" si="29"/>
        <v>206.71075157284019</v>
      </c>
      <c r="BY49" s="65">
        <f t="shared" si="29"/>
        <v>195.49386978760899</v>
      </c>
      <c r="BZ49" s="65">
        <f t="shared" si="29"/>
        <v>184.40655465902378</v>
      </c>
      <c r="CA49" s="65">
        <f t="shared" si="29"/>
        <v>173.45719168383795</v>
      </c>
      <c r="CB49" s="65">
        <f t="shared" si="29"/>
        <v>162.65416804033543</v>
      </c>
      <c r="CC49" s="65">
        <f t="shared" si="29"/>
        <v>152.00587263637439</v>
      </c>
      <c r="CD49" s="65">
        <f t="shared" si="29"/>
        <v>141.52069615743218</v>
      </c>
      <c r="CE49" s="65">
        <f t="shared" si="29"/>
        <v>131.20703111464707</v>
      </c>
      <c r="CF49" s="65">
        <f t="shared" si="29"/>
        <v>121.07327189286364</v>
      </c>
      <c r="CG49" s="65">
        <f t="shared" si="29"/>
        <v>111.12781479867571</v>
      </c>
      <c r="CH49" s="65">
        <f t="shared" si="29"/>
        <v>101.37905810846989</v>
      </c>
      <c r="CI49" s="65">
        <f t="shared" si="29"/>
        <v>91.835402116470618</v>
      </c>
      <c r="CJ49" s="65">
        <f t="shared" si="29"/>
        <v>82.505249182782023</v>
      </c>
      <c r="CK49" s="65">
        <f t="shared" si="29"/>
        <v>73.397003781432943</v>
      </c>
      <c r="CL49" s="65">
        <f t="shared" si="29"/>
        <v>64.519072548420539</v>
      </c>
      <c r="CM49" s="65">
        <f t="shared" si="29"/>
        <v>55.879864329753715</v>
      </c>
      <c r="CN49" s="65">
        <f t="shared" si="29"/>
        <v>0</v>
      </c>
    </row>
    <row r="50" spans="1:256" s="65" customFormat="1">
      <c r="B50" s="65" t="s">
        <v>85</v>
      </c>
      <c r="D50" s="65">
        <f t="shared" ref="D50:AG50" si="30">((D48+C48)/2)*D25</f>
        <v>25.00152207769441</v>
      </c>
      <c r="E50" s="65">
        <f t="shared" si="30"/>
        <v>73.671819209972469</v>
      </c>
      <c r="F50" s="65">
        <f t="shared" si="30"/>
        <v>119.70444237306609</v>
      </c>
      <c r="G50" s="65">
        <f t="shared" si="30"/>
        <v>163.15471340875285</v>
      </c>
      <c r="H50" s="65">
        <f t="shared" si="30"/>
        <v>204.07732890251441</v>
      </c>
      <c r="I50" s="65">
        <f t="shared" si="30"/>
        <v>242.52638292012844</v>
      </c>
      <c r="J50" s="65">
        <f t="shared" si="30"/>
        <v>278.55538974426162</v>
      </c>
      <c r="K50" s="65">
        <f t="shared" si="30"/>
        <v>312.21730661106204</v>
      </c>
      <c r="L50" s="65">
        <f t="shared" si="30"/>
        <v>343.56455644675191</v>
      </c>
      <c r="M50" s="65">
        <f t="shared" si="30"/>
        <v>372.64905060422052</v>
      </c>
      <c r="N50" s="65">
        <f t="shared" si="30"/>
        <v>399.52221159961528</v>
      </c>
      <c r="O50" s="65">
        <f t="shared" si="30"/>
        <v>424.23499584893648</v>
      </c>
      <c r="P50" s="65">
        <f t="shared" si="30"/>
        <v>446.83791640462857</v>
      </c>
      <c r="Q50" s="65">
        <f t="shared" si="30"/>
        <v>467.38106569217297</v>
      </c>
      <c r="R50" s="65">
        <f t="shared" si="30"/>
        <v>485.91413824668086</v>
      </c>
      <c r="S50" s="65">
        <f t="shared" si="30"/>
        <v>502.48645344948545</v>
      </c>
      <c r="T50" s="65">
        <f t="shared" si="30"/>
        <v>517.14697826473491</v>
      </c>
      <c r="U50" s="65">
        <f t="shared" si="30"/>
        <v>529.94434997598478</v>
      </c>
      <c r="V50" s="65">
        <f t="shared" si="30"/>
        <v>540.92689892279054</v>
      </c>
      <c r="W50" s="65">
        <f t="shared" si="30"/>
        <v>550.14267123730053</v>
      </c>
      <c r="X50" s="65">
        <f t="shared" si="30"/>
        <v>557.63945158084778</v>
      </c>
      <c r="Y50" s="65">
        <f t="shared" si="30"/>
        <v>563.46478588054379</v>
      </c>
      <c r="Z50" s="65">
        <f t="shared" si="30"/>
        <v>567.66600406586974</v>
      </c>
      <c r="AA50" s="65">
        <f t="shared" si="30"/>
        <v>570.29024280526983</v>
      </c>
      <c r="AB50" s="65">
        <f t="shared" si="30"/>
        <v>571.38446824274422</v>
      </c>
      <c r="AC50" s="65">
        <f t="shared" si="30"/>
        <v>570.99549873444141</v>
      </c>
      <c r="AD50" s="65">
        <f t="shared" si="30"/>
        <v>569.17002758524995</v>
      </c>
      <c r="AE50" s="65">
        <f t="shared" si="30"/>
        <v>565.95464578539213</v>
      </c>
      <c r="AF50" s="65">
        <f t="shared" si="30"/>
        <v>561.39586474701582</v>
      </c>
      <c r="AG50" s="65">
        <f t="shared" si="30"/>
        <v>555.54013904078806</v>
      </c>
      <c r="AH50" s="65">
        <f>((AH48+AG48)/2)*AH25</f>
        <v>547.91989199996146</v>
      </c>
      <c r="AI50" s="65">
        <f>((AI48+AH48)/2)*AI25</f>
        <v>45154.727209768964</v>
      </c>
      <c r="AJ50" s="65">
        <f>((AJ48+AI48)/2)*AJ25</f>
        <v>561.81812447994423</v>
      </c>
      <c r="AK50" s="108">
        <f>((AK48+AJ48)/2)*AK25</f>
        <v>543.54593999995461</v>
      </c>
      <c r="AL50" s="65">
        <f t="shared" ref="AL50:BO50" si="31">((AL48+AK48)/2)*AL25</f>
        <v>0</v>
      </c>
      <c r="AM50" s="65">
        <f t="shared" si="31"/>
        <v>52.747140950722923</v>
      </c>
      <c r="AN50" s="65">
        <f t="shared" si="31"/>
        <v>51.921915610849162</v>
      </c>
      <c r="AO50" s="65">
        <f t="shared" si="31"/>
        <v>51.081544682175441</v>
      </c>
      <c r="AP50" s="65">
        <f t="shared" si="31"/>
        <v>50.226715570566462</v>
      </c>
      <c r="AQ50" s="65">
        <f t="shared" si="31"/>
        <v>49.358115672007493</v>
      </c>
      <c r="AR50" s="65">
        <f t="shared" si="31"/>
        <v>48.476432376556119</v>
      </c>
      <c r="AS50" s="65">
        <f t="shared" si="31"/>
        <v>47.582353072294033</v>
      </c>
      <c r="AT50" s="65">
        <f t="shared" si="31"/>
        <v>46.676565149278801</v>
      </c>
      <c r="AU50" s="65">
        <f t="shared" si="31"/>
        <v>45.759756003495731</v>
      </c>
      <c r="AV50" s="65">
        <f t="shared" si="31"/>
        <v>44.832613040809512</v>
      </c>
      <c r="AW50" s="65">
        <f t="shared" si="31"/>
        <v>43.895823680916088</v>
      </c>
      <c r="AX50" s="65">
        <f t="shared" si="31"/>
        <v>42.950075361294438</v>
      </c>
      <c r="AY50" s="65">
        <f t="shared" si="31"/>
        <v>41.996055541158341</v>
      </c>
      <c r="AZ50" s="65">
        <f t="shared" si="31"/>
        <v>41.034451705408173</v>
      </c>
      <c r="BA50" s="65">
        <f t="shared" si="31"/>
        <v>40.065951368582631</v>
      </c>
      <c r="BB50" s="65">
        <f t="shared" si="31"/>
        <v>39.091242078810609</v>
      </c>
      <c r="BC50" s="65">
        <f t="shared" si="31"/>
        <v>38.111011421762903</v>
      </c>
      <c r="BD50" s="65">
        <f t="shared" si="31"/>
        <v>37.125947024604038</v>
      </c>
      <c r="BE50" s="65">
        <f t="shared" si="31"/>
        <v>36.136736559944048</v>
      </c>
      <c r="BF50" s="65">
        <f t="shared" si="31"/>
        <v>35.144067749790203</v>
      </c>
      <c r="BG50" s="65">
        <f t="shared" si="31"/>
        <v>34.148628369498844</v>
      </c>
      <c r="BH50" s="65">
        <f t="shared" si="31"/>
        <v>33.151106251727185</v>
      </c>
      <c r="BI50" s="65">
        <f t="shared" si="31"/>
        <v>32.152189290385074</v>
      </c>
      <c r="BJ50" s="65">
        <f t="shared" si="31"/>
        <v>31.152565444586699</v>
      </c>
      <c r="BK50" s="65">
        <f t="shared" si="31"/>
        <v>30.152922742602485</v>
      </c>
      <c r="BL50" s="65">
        <f t="shared" si="31"/>
        <v>29.153949285810818</v>
      </c>
      <c r="BM50" s="65">
        <f t="shared" si="31"/>
        <v>28.156333252649855</v>
      </c>
      <c r="BN50" s="65">
        <f t="shared" si="31"/>
        <v>27.160762902569253</v>
      </c>
      <c r="BO50" s="65">
        <f t="shared" si="31"/>
        <v>26.167926579982023</v>
      </c>
      <c r="BP50" s="65">
        <f t="shared" ref="BP50:CM50" si="32">((BP48+BO48)/2)*BP25</f>
        <v>25.178512718216247</v>
      </c>
      <c r="BQ50" s="65">
        <f t="shared" si="32"/>
        <v>24.193209843466903</v>
      </c>
      <c r="BR50" s="65">
        <f t="shared" si="32"/>
        <v>23.212706578747632</v>
      </c>
      <c r="BS50" s="65">
        <f t="shared" si="32"/>
        <v>22.237691647842535</v>
      </c>
      <c r="BT50" s="65">
        <f t="shared" si="32"/>
        <v>21.268853879257907</v>
      </c>
      <c r="BU50" s="65">
        <f t="shared" si="32"/>
        <v>20.306882210174091</v>
      </c>
      <c r="BV50" s="65">
        <f t="shared" si="32"/>
        <v>19.352465690397203</v>
      </c>
      <c r="BW50" s="65">
        <f t="shared" si="32"/>
        <v>18.406293486310943</v>
      </c>
      <c r="BX50" s="65">
        <f t="shared" si="32"/>
        <v>17.46905488482836</v>
      </c>
      <c r="BY50" s="65">
        <f t="shared" si="32"/>
        <v>16.541439297343651</v>
      </c>
      <c r="BZ50" s="65">
        <f t="shared" si="32"/>
        <v>15.624136263683944</v>
      </c>
      <c r="CA50" s="65">
        <f t="shared" si="32"/>
        <v>14.71783545606106</v>
      </c>
      <c r="CB50" s="65">
        <f t="shared" si="32"/>
        <v>13.823226683023311</v>
      </c>
      <c r="CC50" s="65">
        <f t="shared" si="32"/>
        <v>12.940999893407257</v>
      </c>
      <c r="CD50" s="65">
        <f t="shared" si="32"/>
        <v>12.071845180289538</v>
      </c>
      <c r="CE50" s="65">
        <f t="shared" si="32"/>
        <v>11.216452784938619</v>
      </c>
      <c r="CF50" s="65">
        <f t="shared" si="32"/>
        <v>10.375513100766577</v>
      </c>
      <c r="CG50" s="65">
        <f t="shared" si="32"/>
        <v>9.5497166772808946</v>
      </c>
      <c r="CH50" s="65">
        <f t="shared" si="32"/>
        <v>8.7397542240362132</v>
      </c>
      <c r="CI50" s="65">
        <f t="shared" si="32"/>
        <v>7.946316614586161</v>
      </c>
      <c r="CJ50" s="65">
        <f t="shared" si="32"/>
        <v>7.1700948904351085</v>
      </c>
      <c r="CK50" s="65">
        <f t="shared" si="32"/>
        <v>6.4117802649899325</v>
      </c>
      <c r="CL50" s="65">
        <f t="shared" si="32"/>
        <v>5.6720641275118373</v>
      </c>
      <c r="CM50" s="65">
        <f t="shared" si="32"/>
        <v>4.9516380470681254</v>
      </c>
      <c r="CN50" s="65">
        <f>((CN48)/2)*CN25</f>
        <v>0</v>
      </c>
    </row>
    <row r="51" spans="1:256" s="64" customFormat="1">
      <c r="B51" s="64" t="s">
        <v>59</v>
      </c>
      <c r="C51" s="65"/>
      <c r="D51" s="65">
        <f t="shared" ref="D51:AG51" si="33">((D49+C49)/2)*D25</f>
        <v>30.395564557396902</v>
      </c>
      <c r="E51" s="65">
        <f t="shared" si="33"/>
        <v>89.566408393008317</v>
      </c>
      <c r="F51" s="65">
        <f t="shared" si="33"/>
        <v>145.53050388895608</v>
      </c>
      <c r="G51" s="65">
        <f t="shared" si="33"/>
        <v>198.35510849492499</v>
      </c>
      <c r="H51" s="65">
        <f t="shared" si="33"/>
        <v>248.10671950615614</v>
      </c>
      <c r="I51" s="65">
        <f t="shared" si="33"/>
        <v>294.85110170542589</v>
      </c>
      <c r="J51" s="65">
        <f t="shared" si="33"/>
        <v>338.65331500502612</v>
      </c>
      <c r="K51" s="65">
        <f t="shared" si="33"/>
        <v>379.57774208874361</v>
      </c>
      <c r="L51" s="65">
        <f t="shared" si="33"/>
        <v>417.68811605384053</v>
      </c>
      <c r="M51" s="65">
        <f t="shared" si="33"/>
        <v>453.04754805303401</v>
      </c>
      <c r="N51" s="65">
        <f t="shared" si="33"/>
        <v>485.71855493647445</v>
      </c>
      <c r="O51" s="65">
        <f t="shared" si="33"/>
        <v>515.76308689372763</v>
      </c>
      <c r="P51" s="65">
        <f t="shared" si="33"/>
        <v>543.24255509575357</v>
      </c>
      <c r="Q51" s="65">
        <f t="shared" si="33"/>
        <v>568.21785933688579</v>
      </c>
      <c r="R51" s="65">
        <f t="shared" si="33"/>
        <v>590.74941567681128</v>
      </c>
      <c r="S51" s="65">
        <f t="shared" si="33"/>
        <v>610.89718408255123</v>
      </c>
      <c r="T51" s="65">
        <f t="shared" si="33"/>
        <v>628.7206960704392</v>
      </c>
      <c r="U51" s="65">
        <f t="shared" si="33"/>
        <v>644.27908234810252</v>
      </c>
      <c r="V51" s="65">
        <f t="shared" si="33"/>
        <v>657.63110045644146</v>
      </c>
      <c r="W51" s="65">
        <f t="shared" si="33"/>
        <v>668.83516241160805</v>
      </c>
      <c r="X51" s="65">
        <f t="shared" si="33"/>
        <v>677.94936234698787</v>
      </c>
      <c r="Y51" s="65">
        <f t="shared" si="33"/>
        <v>685.03150415517791</v>
      </c>
      <c r="Z51" s="65">
        <f t="shared" si="33"/>
        <v>690.1391291299675</v>
      </c>
      <c r="AA51" s="65">
        <f t="shared" si="33"/>
        <v>693.32954360831718</v>
      </c>
      <c r="AB51" s="65">
        <f t="shared" si="33"/>
        <v>694.65984661234017</v>
      </c>
      <c r="AC51" s="65">
        <f t="shared" si="33"/>
        <v>694.18695749128028</v>
      </c>
      <c r="AD51" s="65">
        <f t="shared" si="33"/>
        <v>691.96764356349286</v>
      </c>
      <c r="AE51" s="65">
        <f t="shared" si="33"/>
        <v>688.05854775842352</v>
      </c>
      <c r="AF51" s="65">
        <f t="shared" si="33"/>
        <v>682.51621625858945</v>
      </c>
      <c r="AG51" s="65">
        <f t="shared" si="33"/>
        <v>675.39712614155815</v>
      </c>
      <c r="AH51" s="65">
        <f>((AH49+AG49)/2)*AH25</f>
        <v>666.13282174629092</v>
      </c>
      <c r="AI51" s="65">
        <f>((AI49+AH49)/2)*AI25</f>
        <v>54896.794751575719</v>
      </c>
      <c r="AJ51" s="65">
        <f>((AJ49+AI49)/2)*AJ25</f>
        <v>683.02957792242455</v>
      </c>
      <c r="AK51" s="108">
        <f>((AK49+AJ49)/2)*AK25</f>
        <v>660.81519588439278</v>
      </c>
      <c r="AL51" s="65">
        <f t="shared" ref="AL51:CU51" si="34">((AL49+AK49)/2)*AL25</f>
        <v>0</v>
      </c>
      <c r="AM51" s="65">
        <f t="shared" si="34"/>
        <v>64.127260852498594</v>
      </c>
      <c r="AN51" s="65">
        <f t="shared" si="34"/>
        <v>63.123994330781059</v>
      </c>
      <c r="AO51" s="65">
        <f t="shared" si="34"/>
        <v>62.10231458123291</v>
      </c>
      <c r="AP51" s="65">
        <f t="shared" si="34"/>
        <v>61.063057316546846</v>
      </c>
      <c r="AQ51" s="65">
        <f t="shared" si="34"/>
        <v>60.007058237404678</v>
      </c>
      <c r="AR51" s="65">
        <f t="shared" si="34"/>
        <v>58.935153037281687</v>
      </c>
      <c r="AS51" s="65">
        <f t="shared" si="34"/>
        <v>57.848177407250873</v>
      </c>
      <c r="AT51" s="65">
        <f t="shared" si="34"/>
        <v>56.746967040787517</v>
      </c>
      <c r="AU51" s="65">
        <f t="shared" si="34"/>
        <v>55.632357638573417</v>
      </c>
      <c r="AV51" s="65">
        <f t="shared" si="34"/>
        <v>54.505184913301335</v>
      </c>
      <c r="AW51" s="65">
        <f t="shared" si="34"/>
        <v>53.366284594479261</v>
      </c>
      <c r="AX51" s="65">
        <f t="shared" si="34"/>
        <v>52.216492433234961</v>
      </c>
      <c r="AY51" s="65">
        <f t="shared" si="34"/>
        <v>51.056644207120208</v>
      </c>
      <c r="AZ51" s="65">
        <f t="shared" si="34"/>
        <v>49.887575724915216</v>
      </c>
      <c r="BA51" s="65">
        <f t="shared" si="34"/>
        <v>48.710122831432976</v>
      </c>
      <c r="BB51" s="65">
        <f t="shared" si="34"/>
        <v>47.525121412323685</v>
      </c>
      <c r="BC51" s="65">
        <f t="shared" si="34"/>
        <v>46.333407398879082</v>
      </c>
      <c r="BD51" s="65">
        <f t="shared" si="34"/>
        <v>45.135816772836826</v>
      </c>
      <c r="BE51" s="65">
        <f t="shared" si="34"/>
        <v>43.933185571184872</v>
      </c>
      <c r="BF51" s="65">
        <f t="shared" si="34"/>
        <v>42.726349890965835</v>
      </c>
      <c r="BG51" s="65">
        <f t="shared" si="34"/>
        <v>41.516145894081369</v>
      </c>
      <c r="BH51" s="65">
        <f t="shared" si="34"/>
        <v>40.303409812096568</v>
      </c>
      <c r="BI51" s="65">
        <f t="shared" si="34"/>
        <v>39.088977951044328</v>
      </c>
      <c r="BJ51" s="65">
        <f t="shared" si="34"/>
        <v>37.873686696229662</v>
      </c>
      <c r="BK51" s="65">
        <f t="shared" si="34"/>
        <v>36.658372517034138</v>
      </c>
      <c r="BL51" s="65">
        <f t="shared" si="34"/>
        <v>35.443871971720249</v>
      </c>
      <c r="BM51" s="65">
        <f t="shared" si="34"/>
        <v>34.231021712235794</v>
      </c>
      <c r="BN51" s="65">
        <f t="shared" si="34"/>
        <v>33.020658489018153</v>
      </c>
      <c r="BO51" s="65">
        <f t="shared" si="34"/>
        <v>31.813619155798811</v>
      </c>
      <c r="BP51" s="65">
        <f t="shared" si="34"/>
        <v>30.610740674407634</v>
      </c>
      <c r="BQ51" s="65">
        <f t="shared" si="34"/>
        <v>29.41286011957726</v>
      </c>
      <c r="BR51" s="65">
        <f t="shared" si="34"/>
        <v>28.220814683747488</v>
      </c>
      <c r="BS51" s="65">
        <f t="shared" si="34"/>
        <v>27.035441681869642</v>
      </c>
      <c r="BT51" s="65">
        <f t="shared" si="34"/>
        <v>25.857578556210928</v>
      </c>
      <c r="BU51" s="65">
        <f t="shared" si="34"/>
        <v>24.688062881158864</v>
      </c>
      <c r="BV51" s="65">
        <f t="shared" si="34"/>
        <v>23.527732368025575</v>
      </c>
      <c r="BW51" s="65">
        <f t="shared" si="34"/>
        <v>22.37742486985222</v>
      </c>
      <c r="BX51" s="65">
        <f t="shared" si="34"/>
        <v>21.237978386213364</v>
      </c>
      <c r="BY51" s="65">
        <f t="shared" si="34"/>
        <v>20.110231068021317</v>
      </c>
      <c r="BZ51" s="65">
        <f t="shared" si="34"/>
        <v>18.995021222330557</v>
      </c>
      <c r="CA51" s="65">
        <f t="shared" si="34"/>
        <v>17.893187317142072</v>
      </c>
      <c r="CB51" s="65">
        <f t="shared" si="34"/>
        <v>16.805567986207713</v>
      </c>
      <c r="CC51" s="65">
        <f t="shared" si="34"/>
        <v>15.733002033834598</v>
      </c>
      <c r="CD51" s="65">
        <f t="shared" si="34"/>
        <v>14.676328439689495</v>
      </c>
      <c r="CE51" s="65">
        <f t="shared" si="34"/>
        <v>13.636386363603188</v>
      </c>
      <c r="CF51" s="65">
        <f t="shared" si="34"/>
        <v>12.614015150374819</v>
      </c>
      <c r="CG51" s="65">
        <f t="shared" si="34"/>
        <v>11.610054334576308</v>
      </c>
      <c r="CH51" s="65">
        <f t="shared" si="34"/>
        <v>10.625343645356676</v>
      </c>
      <c r="CI51" s="65">
        <f t="shared" si="34"/>
        <v>9.6607230112464766</v>
      </c>
      <c r="CJ51" s="65">
        <f t="shared" si="34"/>
        <v>8.7170325649621372</v>
      </c>
      <c r="CK51" s="65">
        <f t="shared" si="34"/>
        <v>7.7951126482103055</v>
      </c>
      <c r="CL51" s="65">
        <f t="shared" si="34"/>
        <v>6.8958038164922817</v>
      </c>
      <c r="CM51" s="65">
        <f t="shared" si="34"/>
        <v>6.0199468439083708</v>
      </c>
      <c r="CN51" s="65">
        <f>((CN49)/2)*CN25</f>
        <v>0</v>
      </c>
      <c r="CO51" s="65">
        <f t="shared" si="34"/>
        <v>0</v>
      </c>
      <c r="CP51" s="65">
        <f t="shared" si="34"/>
        <v>0</v>
      </c>
      <c r="CQ51" s="65">
        <f t="shared" si="34"/>
        <v>0</v>
      </c>
      <c r="CR51" s="65">
        <f t="shared" si="34"/>
        <v>0</v>
      </c>
      <c r="CS51" s="65">
        <f t="shared" si="34"/>
        <v>0</v>
      </c>
      <c r="CT51" s="65">
        <f t="shared" si="34"/>
        <v>0</v>
      </c>
      <c r="CU51" s="65">
        <f t="shared" si="34"/>
        <v>0</v>
      </c>
      <c r="CV51" s="65">
        <f t="shared" ref="CV51:FG51" si="35">((CV49+CU49)/2)*CV25</f>
        <v>0</v>
      </c>
      <c r="CW51" s="65">
        <f t="shared" si="35"/>
        <v>0</v>
      </c>
      <c r="CX51" s="65">
        <f t="shared" si="35"/>
        <v>0</v>
      </c>
      <c r="CY51" s="65">
        <f t="shared" si="35"/>
        <v>0</v>
      </c>
      <c r="CZ51" s="65">
        <f t="shared" si="35"/>
        <v>0</v>
      </c>
      <c r="DA51" s="65">
        <f t="shared" si="35"/>
        <v>0</v>
      </c>
      <c r="DB51" s="65">
        <f t="shared" si="35"/>
        <v>0</v>
      </c>
      <c r="DC51" s="65">
        <f t="shared" si="35"/>
        <v>0</v>
      </c>
      <c r="DD51" s="65">
        <f t="shared" si="35"/>
        <v>0</v>
      </c>
      <c r="DE51" s="65">
        <f t="shared" si="35"/>
        <v>0</v>
      </c>
      <c r="DF51" s="65">
        <f t="shared" si="35"/>
        <v>0</v>
      </c>
      <c r="DG51" s="65">
        <f t="shared" si="35"/>
        <v>0</v>
      </c>
      <c r="DH51" s="65">
        <f t="shared" si="35"/>
        <v>0</v>
      </c>
      <c r="DI51" s="65">
        <f t="shared" si="35"/>
        <v>0</v>
      </c>
      <c r="DJ51" s="65">
        <f t="shared" si="35"/>
        <v>0</v>
      </c>
      <c r="DK51" s="65">
        <f t="shared" si="35"/>
        <v>0</v>
      </c>
      <c r="DL51" s="65">
        <f t="shared" si="35"/>
        <v>0</v>
      </c>
      <c r="DM51" s="65">
        <f t="shared" si="35"/>
        <v>0</v>
      </c>
      <c r="DN51" s="65">
        <f t="shared" si="35"/>
        <v>0</v>
      </c>
      <c r="DO51" s="65">
        <f t="shared" si="35"/>
        <v>0</v>
      </c>
      <c r="DP51" s="65">
        <f t="shared" si="35"/>
        <v>0</v>
      </c>
      <c r="DQ51" s="65">
        <f t="shared" si="35"/>
        <v>0</v>
      </c>
      <c r="DR51" s="65">
        <f t="shared" si="35"/>
        <v>0</v>
      </c>
      <c r="DS51" s="65">
        <f t="shared" si="35"/>
        <v>0</v>
      </c>
      <c r="DT51" s="65">
        <f t="shared" si="35"/>
        <v>0</v>
      </c>
      <c r="DU51" s="65">
        <f t="shared" si="35"/>
        <v>0</v>
      </c>
      <c r="DV51" s="65">
        <f t="shared" si="35"/>
        <v>0</v>
      </c>
      <c r="DW51" s="65">
        <f t="shared" si="35"/>
        <v>0</v>
      </c>
      <c r="DX51" s="65">
        <f t="shared" si="35"/>
        <v>0</v>
      </c>
      <c r="DY51" s="65">
        <f t="shared" si="35"/>
        <v>0</v>
      </c>
      <c r="DZ51" s="65">
        <f t="shared" si="35"/>
        <v>0</v>
      </c>
      <c r="EA51" s="65">
        <f t="shared" si="35"/>
        <v>0</v>
      </c>
      <c r="EB51" s="65">
        <f t="shared" si="35"/>
        <v>0</v>
      </c>
      <c r="EC51" s="65">
        <f t="shared" si="35"/>
        <v>0</v>
      </c>
      <c r="ED51" s="65">
        <f t="shared" si="35"/>
        <v>0</v>
      </c>
      <c r="EE51" s="65">
        <f t="shared" si="35"/>
        <v>0</v>
      </c>
      <c r="EF51" s="65">
        <f t="shared" si="35"/>
        <v>0</v>
      </c>
      <c r="EG51" s="65">
        <f t="shared" si="35"/>
        <v>0</v>
      </c>
      <c r="EH51" s="65">
        <f t="shared" si="35"/>
        <v>0</v>
      </c>
      <c r="EI51" s="65">
        <f t="shared" si="35"/>
        <v>0</v>
      </c>
      <c r="EJ51" s="65">
        <f t="shared" si="35"/>
        <v>0</v>
      </c>
      <c r="EK51" s="65">
        <f t="shared" si="35"/>
        <v>0</v>
      </c>
      <c r="EL51" s="65">
        <f t="shared" si="35"/>
        <v>0</v>
      </c>
      <c r="EM51" s="65">
        <f t="shared" si="35"/>
        <v>0</v>
      </c>
      <c r="EN51" s="65">
        <f t="shared" si="35"/>
        <v>0</v>
      </c>
      <c r="EO51" s="65">
        <f t="shared" si="35"/>
        <v>0</v>
      </c>
      <c r="EP51" s="65">
        <f t="shared" si="35"/>
        <v>0</v>
      </c>
      <c r="EQ51" s="65">
        <f t="shared" si="35"/>
        <v>0</v>
      </c>
      <c r="ER51" s="65">
        <f t="shared" si="35"/>
        <v>0</v>
      </c>
      <c r="ES51" s="65">
        <f t="shared" si="35"/>
        <v>0</v>
      </c>
      <c r="ET51" s="65">
        <f t="shared" si="35"/>
        <v>0</v>
      </c>
      <c r="EU51" s="65">
        <f t="shared" si="35"/>
        <v>0</v>
      </c>
      <c r="EV51" s="65">
        <f t="shared" si="35"/>
        <v>0</v>
      </c>
      <c r="EW51" s="65">
        <f t="shared" si="35"/>
        <v>0</v>
      </c>
      <c r="EX51" s="65">
        <f t="shared" si="35"/>
        <v>0</v>
      </c>
      <c r="EY51" s="65">
        <f t="shared" si="35"/>
        <v>0</v>
      </c>
      <c r="EZ51" s="65">
        <f t="shared" si="35"/>
        <v>0</v>
      </c>
      <c r="FA51" s="65">
        <f t="shared" si="35"/>
        <v>0</v>
      </c>
      <c r="FB51" s="65">
        <f t="shared" si="35"/>
        <v>0</v>
      </c>
      <c r="FC51" s="65">
        <f t="shared" si="35"/>
        <v>0</v>
      </c>
      <c r="FD51" s="65">
        <f t="shared" si="35"/>
        <v>0</v>
      </c>
      <c r="FE51" s="65">
        <f t="shared" si="35"/>
        <v>0</v>
      </c>
      <c r="FF51" s="65">
        <f t="shared" si="35"/>
        <v>0</v>
      </c>
      <c r="FG51" s="65">
        <f t="shared" si="35"/>
        <v>0</v>
      </c>
      <c r="FH51" s="65">
        <f t="shared" ref="FH51:HS51" si="36">((FH49+FG49)/2)*FH25</f>
        <v>0</v>
      </c>
      <c r="FI51" s="65">
        <f t="shared" si="36"/>
        <v>0</v>
      </c>
      <c r="FJ51" s="65">
        <f t="shared" si="36"/>
        <v>0</v>
      </c>
      <c r="FK51" s="65">
        <f t="shared" si="36"/>
        <v>0</v>
      </c>
      <c r="FL51" s="65">
        <f t="shared" si="36"/>
        <v>0</v>
      </c>
      <c r="FM51" s="65">
        <f t="shared" si="36"/>
        <v>0</v>
      </c>
      <c r="FN51" s="65">
        <f t="shared" si="36"/>
        <v>0</v>
      </c>
      <c r="FO51" s="65">
        <f t="shared" si="36"/>
        <v>0</v>
      </c>
      <c r="FP51" s="65">
        <f t="shared" si="36"/>
        <v>0</v>
      </c>
      <c r="FQ51" s="65">
        <f t="shared" si="36"/>
        <v>0</v>
      </c>
      <c r="FR51" s="65">
        <f t="shared" si="36"/>
        <v>0</v>
      </c>
      <c r="FS51" s="65">
        <f t="shared" si="36"/>
        <v>0</v>
      </c>
      <c r="FT51" s="65">
        <f t="shared" si="36"/>
        <v>0</v>
      </c>
      <c r="FU51" s="65">
        <f t="shared" si="36"/>
        <v>0</v>
      </c>
      <c r="FV51" s="65">
        <f t="shared" si="36"/>
        <v>0</v>
      </c>
      <c r="FW51" s="65">
        <f t="shared" si="36"/>
        <v>0</v>
      </c>
      <c r="FX51" s="65">
        <f t="shared" si="36"/>
        <v>0</v>
      </c>
      <c r="FY51" s="65">
        <f t="shared" si="36"/>
        <v>0</v>
      </c>
      <c r="FZ51" s="65">
        <f t="shared" si="36"/>
        <v>0</v>
      </c>
      <c r="GA51" s="65">
        <f t="shared" si="36"/>
        <v>0</v>
      </c>
      <c r="GB51" s="65">
        <f t="shared" si="36"/>
        <v>0</v>
      </c>
      <c r="GC51" s="65">
        <f t="shared" si="36"/>
        <v>0</v>
      </c>
      <c r="GD51" s="65">
        <f t="shared" si="36"/>
        <v>0</v>
      </c>
      <c r="GE51" s="65">
        <f t="shared" si="36"/>
        <v>0</v>
      </c>
      <c r="GF51" s="65">
        <f t="shared" si="36"/>
        <v>0</v>
      </c>
      <c r="GG51" s="65">
        <f t="shared" si="36"/>
        <v>0</v>
      </c>
      <c r="GH51" s="65">
        <f t="shared" si="36"/>
        <v>0</v>
      </c>
      <c r="GI51" s="65">
        <f t="shared" si="36"/>
        <v>0</v>
      </c>
      <c r="GJ51" s="65">
        <f t="shared" si="36"/>
        <v>0</v>
      </c>
      <c r="GK51" s="65">
        <f t="shared" si="36"/>
        <v>0</v>
      </c>
      <c r="GL51" s="65">
        <f t="shared" si="36"/>
        <v>0</v>
      </c>
      <c r="GM51" s="65">
        <f t="shared" si="36"/>
        <v>0</v>
      </c>
      <c r="GN51" s="65">
        <f t="shared" si="36"/>
        <v>0</v>
      </c>
      <c r="GO51" s="65">
        <f t="shared" si="36"/>
        <v>0</v>
      </c>
      <c r="GP51" s="65">
        <f t="shared" si="36"/>
        <v>0</v>
      </c>
      <c r="GQ51" s="65">
        <f t="shared" si="36"/>
        <v>0</v>
      </c>
      <c r="GR51" s="65">
        <f t="shared" si="36"/>
        <v>0</v>
      </c>
      <c r="GS51" s="65">
        <f t="shared" si="36"/>
        <v>0</v>
      </c>
      <c r="GT51" s="65">
        <f t="shared" si="36"/>
        <v>0</v>
      </c>
      <c r="GU51" s="65">
        <f t="shared" si="36"/>
        <v>0</v>
      </c>
      <c r="GV51" s="65">
        <f t="shared" si="36"/>
        <v>0</v>
      </c>
      <c r="GW51" s="65">
        <f t="shared" si="36"/>
        <v>0</v>
      </c>
      <c r="GX51" s="65">
        <f t="shared" si="36"/>
        <v>0</v>
      </c>
      <c r="GY51" s="65">
        <f t="shared" si="36"/>
        <v>0</v>
      </c>
      <c r="GZ51" s="65">
        <f t="shared" si="36"/>
        <v>0</v>
      </c>
      <c r="HA51" s="65">
        <f t="shared" si="36"/>
        <v>0</v>
      </c>
      <c r="HB51" s="65">
        <f t="shared" si="36"/>
        <v>0</v>
      </c>
      <c r="HC51" s="65">
        <f t="shared" si="36"/>
        <v>0</v>
      </c>
      <c r="HD51" s="65">
        <f t="shared" si="36"/>
        <v>0</v>
      </c>
      <c r="HE51" s="65">
        <f t="shared" si="36"/>
        <v>0</v>
      </c>
      <c r="HF51" s="65">
        <f t="shared" si="36"/>
        <v>0</v>
      </c>
      <c r="HG51" s="65">
        <f t="shared" si="36"/>
        <v>0</v>
      </c>
      <c r="HH51" s="65">
        <f t="shared" si="36"/>
        <v>0</v>
      </c>
      <c r="HI51" s="65">
        <f t="shared" si="36"/>
        <v>0</v>
      </c>
      <c r="HJ51" s="65">
        <f t="shared" si="36"/>
        <v>0</v>
      </c>
      <c r="HK51" s="65">
        <f t="shared" si="36"/>
        <v>0</v>
      </c>
      <c r="HL51" s="65">
        <f t="shared" si="36"/>
        <v>0</v>
      </c>
      <c r="HM51" s="65">
        <f t="shared" si="36"/>
        <v>0</v>
      </c>
      <c r="HN51" s="65">
        <f t="shared" si="36"/>
        <v>0</v>
      </c>
      <c r="HO51" s="65">
        <f t="shared" si="36"/>
        <v>0</v>
      </c>
      <c r="HP51" s="65">
        <f t="shared" si="36"/>
        <v>0</v>
      </c>
      <c r="HQ51" s="65">
        <f t="shared" si="36"/>
        <v>0</v>
      </c>
      <c r="HR51" s="65">
        <f t="shared" si="36"/>
        <v>0</v>
      </c>
      <c r="HS51" s="65">
        <f t="shared" si="36"/>
        <v>0</v>
      </c>
      <c r="HT51" s="65">
        <f t="shared" ref="HT51:IV51" si="37">((HT49+HS49)/2)*HT25</f>
        <v>0</v>
      </c>
      <c r="HU51" s="65">
        <f t="shared" si="37"/>
        <v>0</v>
      </c>
      <c r="HV51" s="65">
        <f t="shared" si="37"/>
        <v>0</v>
      </c>
      <c r="HW51" s="65">
        <f t="shared" si="37"/>
        <v>0</v>
      </c>
      <c r="HX51" s="65">
        <f t="shared" si="37"/>
        <v>0</v>
      </c>
      <c r="HY51" s="65">
        <f t="shared" si="37"/>
        <v>0</v>
      </c>
      <c r="HZ51" s="65">
        <f t="shared" si="37"/>
        <v>0</v>
      </c>
      <c r="IA51" s="65">
        <f t="shared" si="37"/>
        <v>0</v>
      </c>
      <c r="IB51" s="65">
        <f t="shared" si="37"/>
        <v>0</v>
      </c>
      <c r="IC51" s="65">
        <f t="shared" si="37"/>
        <v>0</v>
      </c>
      <c r="ID51" s="65">
        <f t="shared" si="37"/>
        <v>0</v>
      </c>
      <c r="IE51" s="65">
        <f t="shared" si="37"/>
        <v>0</v>
      </c>
      <c r="IF51" s="65">
        <f t="shared" si="37"/>
        <v>0</v>
      </c>
      <c r="IG51" s="65">
        <f t="shared" si="37"/>
        <v>0</v>
      </c>
      <c r="IH51" s="65">
        <f t="shared" si="37"/>
        <v>0</v>
      </c>
      <c r="II51" s="65">
        <f t="shared" si="37"/>
        <v>0</v>
      </c>
      <c r="IJ51" s="65">
        <f t="shared" si="37"/>
        <v>0</v>
      </c>
      <c r="IK51" s="65">
        <f t="shared" si="37"/>
        <v>0</v>
      </c>
      <c r="IL51" s="65">
        <f t="shared" si="37"/>
        <v>0</v>
      </c>
      <c r="IM51" s="65">
        <f t="shared" si="37"/>
        <v>0</v>
      </c>
      <c r="IN51" s="65">
        <f t="shared" si="37"/>
        <v>0</v>
      </c>
      <c r="IO51" s="65">
        <f t="shared" si="37"/>
        <v>0</v>
      </c>
      <c r="IP51" s="65">
        <f t="shared" si="37"/>
        <v>0</v>
      </c>
      <c r="IQ51" s="65">
        <f t="shared" si="37"/>
        <v>0</v>
      </c>
      <c r="IR51" s="65">
        <f t="shared" si="37"/>
        <v>0</v>
      </c>
      <c r="IS51" s="65">
        <f t="shared" si="37"/>
        <v>0</v>
      </c>
      <c r="IT51" s="65">
        <f t="shared" si="37"/>
        <v>0</v>
      </c>
      <c r="IU51" s="65">
        <f t="shared" si="37"/>
        <v>0</v>
      </c>
      <c r="IV51" s="65">
        <f t="shared" si="37"/>
        <v>0</v>
      </c>
    </row>
    <row r="52" spans="1:256" s="64" customFormat="1">
      <c r="B52" s="65"/>
      <c r="C52" s="65" t="s">
        <v>86</v>
      </c>
      <c r="AK52" s="85"/>
    </row>
    <row r="53" spans="1:256" s="65" customFormat="1">
      <c r="A53" s="64"/>
      <c r="B53" s="65" t="s">
        <v>52</v>
      </c>
      <c r="C53" s="65">
        <f>$C17-$C17*(AI19/$C37)</f>
        <v>3.9690473130349346E-14</v>
      </c>
      <c r="AK53" s="108"/>
    </row>
    <row r="54" spans="1:256" s="65" customFormat="1">
      <c r="A54" s="64"/>
      <c r="B54" s="65" t="s">
        <v>53</v>
      </c>
      <c r="C54" s="65">
        <f>$C17*C19-$C17*((C19*C19)/(2*$C37))+$C20</f>
        <v>6</v>
      </c>
      <c r="AK54" s="108"/>
    </row>
    <row r="55" spans="1:256" s="65" customFormat="1">
      <c r="A55" s="64"/>
      <c r="B55" s="65" t="s">
        <v>54</v>
      </c>
      <c r="C55" s="65">
        <f>(C17*($C37*$C37))/3</f>
        <v>106.66666666666664</v>
      </c>
      <c r="AK55" s="108"/>
    </row>
    <row r="56" spans="1:256" s="65" customFormat="1">
      <c r="A56" s="64"/>
      <c r="B56" s="65" t="s">
        <v>55</v>
      </c>
      <c r="C56" s="65">
        <f>9.81*(C21-($C17*$C18-$C19*$C20)*($C14-2*C55))+C15*C53</f>
        <v>874.59419999992645</v>
      </c>
      <c r="AK56" s="108"/>
    </row>
    <row r="57" spans="1:256" s="65" customFormat="1">
      <c r="A57" s="64"/>
      <c r="B57" s="65" t="s">
        <v>87</v>
      </c>
      <c r="C57" s="65">
        <f>(C56*C54)/1000</f>
        <v>5.2475651999995589</v>
      </c>
      <c r="AK57" s="108"/>
    </row>
    <row r="58" spans="1:256" s="65" customFormat="1">
      <c r="A58" s="64"/>
      <c r="B58" s="65" t="s">
        <v>57</v>
      </c>
      <c r="AK58" s="108"/>
    </row>
    <row r="59" spans="1:256" s="65" customFormat="1">
      <c r="AK59" s="108"/>
    </row>
    <row r="60" spans="1:256" s="65" customFormat="1">
      <c r="B60" s="65" t="s">
        <v>88</v>
      </c>
      <c r="C60" s="65">
        <f t="shared" ref="C60:AF60" si="38">IF(C44&gt;0,C44,0)</f>
        <v>0.45</v>
      </c>
      <c r="D60" s="65">
        <f t="shared" si="38"/>
        <v>0.43500000000000133</v>
      </c>
      <c r="E60" s="65">
        <f t="shared" si="38"/>
        <v>0.42000000000000265</v>
      </c>
      <c r="F60" s="65">
        <f t="shared" si="38"/>
        <v>0.40500000000000397</v>
      </c>
      <c r="G60" s="65">
        <f t="shared" si="38"/>
        <v>0.39000000000000529</v>
      </c>
      <c r="H60" s="65">
        <f t="shared" si="38"/>
        <v>0.37500000000000661</v>
      </c>
      <c r="I60" s="65">
        <f t="shared" si="38"/>
        <v>0.36000000000000798</v>
      </c>
      <c r="J60" s="65">
        <f t="shared" si="38"/>
        <v>0.3450000000000093</v>
      </c>
      <c r="K60" s="65">
        <f t="shared" si="38"/>
        <v>0.33000000000001062</v>
      </c>
      <c r="L60" s="65">
        <f t="shared" si="38"/>
        <v>0.31500000000001194</v>
      </c>
      <c r="M60" s="65">
        <f t="shared" si="38"/>
        <v>0.30000000000001326</v>
      </c>
      <c r="N60" s="65">
        <f t="shared" si="38"/>
        <v>0.28500000000001458</v>
      </c>
      <c r="O60" s="65">
        <f t="shared" si="38"/>
        <v>0.27000000000001589</v>
      </c>
      <c r="P60" s="65">
        <f t="shared" si="38"/>
        <v>0.25500000000001716</v>
      </c>
      <c r="Q60" s="65">
        <f t="shared" si="38"/>
        <v>0.24000000000001848</v>
      </c>
      <c r="R60" s="65">
        <f t="shared" si="38"/>
        <v>0.2250000000000198</v>
      </c>
      <c r="S60" s="65">
        <f t="shared" si="38"/>
        <v>0.21000000000002109</v>
      </c>
      <c r="T60" s="65">
        <f t="shared" si="38"/>
        <v>0.19500000000002238</v>
      </c>
      <c r="U60" s="65">
        <f t="shared" si="38"/>
        <v>0.18000000000002375</v>
      </c>
      <c r="V60" s="65">
        <f t="shared" si="38"/>
        <v>0.16500000000002507</v>
      </c>
      <c r="W60" s="65">
        <f t="shared" si="38"/>
        <v>0.15000000000002633</v>
      </c>
      <c r="X60" s="65">
        <f t="shared" si="38"/>
        <v>0.13500000000002765</v>
      </c>
      <c r="Y60" s="65">
        <f t="shared" si="38"/>
        <v>0.12000000000002897</v>
      </c>
      <c r="Z60" s="65">
        <f t="shared" si="38"/>
        <v>0.10500000000003024</v>
      </c>
      <c r="AA60" s="65">
        <f t="shared" si="38"/>
        <v>9.000000000003161E-2</v>
      </c>
      <c r="AB60" s="65">
        <f t="shared" si="38"/>
        <v>7.5000000000032929E-2</v>
      </c>
      <c r="AC60" s="65">
        <f t="shared" si="38"/>
        <v>6.0000000000034193E-2</v>
      </c>
      <c r="AD60" s="65">
        <f t="shared" si="38"/>
        <v>4.5000000000035512E-2</v>
      </c>
      <c r="AE60" s="65">
        <f t="shared" si="38"/>
        <v>3.0000000000036831E-2</v>
      </c>
      <c r="AF60" s="65">
        <f t="shared" si="38"/>
        <v>1.5000000000038094E-2</v>
      </c>
      <c r="AG60" s="65">
        <f>AG44</f>
        <v>3.9468428525424315E-14</v>
      </c>
      <c r="AH60" s="65">
        <v>0</v>
      </c>
      <c r="AI60" s="65">
        <v>0</v>
      </c>
      <c r="AJ60" s="65">
        <f t="shared" ref="AJ60:CU60" si="39">AJ44</f>
        <v>0</v>
      </c>
      <c r="AK60" s="108">
        <f t="shared" si="39"/>
        <v>0</v>
      </c>
      <c r="AL60" s="65">
        <f t="shared" si="39"/>
        <v>7.8124999999952954E-2</v>
      </c>
      <c r="AM60" s="65">
        <f t="shared" si="39"/>
        <v>6.2499999999953842E-2</v>
      </c>
      <c r="AN60" s="65">
        <f t="shared" si="39"/>
        <v>4.6874999999954731E-2</v>
      </c>
      <c r="AO60" s="65">
        <f t="shared" si="39"/>
        <v>3.1249999999955619E-2</v>
      </c>
      <c r="AP60" s="65">
        <f t="shared" si="39"/>
        <v>1.5624999999956507E-2</v>
      </c>
      <c r="AQ60" s="65">
        <f t="shared" si="39"/>
        <v>-4.2604808569990382E-14</v>
      </c>
      <c r="AR60" s="65">
        <f t="shared" si="39"/>
        <v>-1.5625000000041717E-2</v>
      </c>
      <c r="AS60" s="65">
        <f t="shared" si="39"/>
        <v>-3.1250000000040828E-2</v>
      </c>
      <c r="AT60" s="65">
        <f t="shared" si="39"/>
        <v>-4.687500000003994E-2</v>
      </c>
      <c r="AU60" s="65">
        <f t="shared" si="39"/>
        <v>-6.2500000000039052E-2</v>
      </c>
      <c r="AV60" s="65">
        <f t="shared" si="39"/>
        <v>-7.8125000000038164E-2</v>
      </c>
      <c r="AW60" s="65">
        <f t="shared" si="39"/>
        <v>-9.3750000000037276E-2</v>
      </c>
      <c r="AX60" s="65">
        <f t="shared" si="39"/>
        <v>-0.10937500000003639</v>
      </c>
      <c r="AY60" s="65">
        <f t="shared" si="39"/>
        <v>-0.1250000000000355</v>
      </c>
      <c r="AZ60" s="65">
        <f t="shared" si="39"/>
        <v>-0.14062500000003461</v>
      </c>
      <c r="BA60" s="65">
        <f t="shared" si="39"/>
        <v>-0.15625000000003372</v>
      </c>
      <c r="BB60" s="65">
        <f t="shared" si="39"/>
        <v>-0.17187500000003283</v>
      </c>
      <c r="BC60" s="65">
        <f t="shared" si="39"/>
        <v>-0.18750000000003195</v>
      </c>
      <c r="BD60" s="65">
        <f t="shared" si="39"/>
        <v>-0.20312500000003106</v>
      </c>
      <c r="BE60" s="65">
        <f t="shared" si="39"/>
        <v>-0.21875000000003017</v>
      </c>
      <c r="BF60" s="65">
        <f t="shared" si="39"/>
        <v>-0.23437500000002928</v>
      </c>
      <c r="BG60" s="65">
        <f t="shared" si="39"/>
        <v>-0.25000000000002842</v>
      </c>
      <c r="BH60" s="65">
        <f t="shared" si="39"/>
        <v>-0.26562500000002753</v>
      </c>
      <c r="BI60" s="65">
        <f t="shared" si="39"/>
        <v>-0.28125000000002665</v>
      </c>
      <c r="BJ60" s="65">
        <f t="shared" si="39"/>
        <v>-0.29687500000002576</v>
      </c>
      <c r="BK60" s="65">
        <f t="shared" si="39"/>
        <v>-0.31250000000002487</v>
      </c>
      <c r="BL60" s="65">
        <f t="shared" si="39"/>
        <v>-0.32812500000002398</v>
      </c>
      <c r="BM60" s="65">
        <f t="shared" si="39"/>
        <v>-0.34375000000002309</v>
      </c>
      <c r="BN60" s="65">
        <f t="shared" si="39"/>
        <v>-0.3593750000000222</v>
      </c>
      <c r="BO60" s="65">
        <f t="shared" si="39"/>
        <v>-0.37500000000002132</v>
      </c>
      <c r="BP60" s="65">
        <f t="shared" si="39"/>
        <v>-0.39062500000002043</v>
      </c>
      <c r="BQ60" s="65">
        <f t="shared" si="39"/>
        <v>-0.40625000000001954</v>
      </c>
      <c r="BR60" s="65">
        <f t="shared" si="39"/>
        <v>-0.4218750000000186</v>
      </c>
      <c r="BS60" s="65">
        <f t="shared" si="39"/>
        <v>-0.43750000000001771</v>
      </c>
      <c r="BT60" s="65">
        <f t="shared" si="39"/>
        <v>-0.45312500000001682</v>
      </c>
      <c r="BU60" s="65">
        <f t="shared" si="39"/>
        <v>-0.46875000000001593</v>
      </c>
      <c r="BV60" s="65">
        <f t="shared" si="39"/>
        <v>-0.48437500000001504</v>
      </c>
      <c r="BW60" s="65">
        <f t="shared" si="39"/>
        <v>-0.50000000000001421</v>
      </c>
      <c r="BX60" s="65">
        <f t="shared" si="39"/>
        <v>-0.51562500000001332</v>
      </c>
      <c r="BY60" s="65">
        <f t="shared" si="39"/>
        <v>-0.53125000000001243</v>
      </c>
      <c r="BZ60" s="65">
        <f t="shared" si="39"/>
        <v>-0.54687500000001155</v>
      </c>
      <c r="CA60" s="65">
        <f t="shared" si="39"/>
        <v>-0.56250000000001066</v>
      </c>
      <c r="CB60" s="65">
        <f t="shared" si="39"/>
        <v>-0.57812500000000977</v>
      </c>
      <c r="CC60" s="65">
        <f t="shared" si="39"/>
        <v>-0.59375000000000888</v>
      </c>
      <c r="CD60" s="65">
        <f t="shared" si="39"/>
        <v>-0.60937500000000799</v>
      </c>
      <c r="CE60" s="65">
        <f t="shared" si="39"/>
        <v>-0.62500000000000711</v>
      </c>
      <c r="CF60" s="65">
        <f t="shared" si="39"/>
        <v>-0.64062500000000622</v>
      </c>
      <c r="CG60" s="65">
        <f t="shared" si="39"/>
        <v>-0.65625000000000533</v>
      </c>
      <c r="CH60" s="65">
        <f t="shared" si="39"/>
        <v>-0.67187500000000444</v>
      </c>
      <c r="CI60" s="65">
        <f t="shared" si="39"/>
        <v>-0.68750000000000355</v>
      </c>
      <c r="CJ60" s="65">
        <f t="shared" si="39"/>
        <v>-0.70312500000000266</v>
      </c>
      <c r="CK60" s="65">
        <f t="shared" si="39"/>
        <v>-0.71875000000000178</v>
      </c>
      <c r="CL60" s="65">
        <f t="shared" si="39"/>
        <v>-0.73437500000000089</v>
      </c>
      <c r="CM60" s="65">
        <f t="shared" si="39"/>
        <v>-0.75</v>
      </c>
      <c r="CN60" s="65">
        <f t="shared" si="39"/>
        <v>-0.75</v>
      </c>
      <c r="CO60" s="65">
        <f t="shared" si="39"/>
        <v>0</v>
      </c>
      <c r="CP60" s="65">
        <f t="shared" si="39"/>
        <v>0</v>
      </c>
      <c r="CQ60" s="65">
        <f t="shared" si="39"/>
        <v>0</v>
      </c>
      <c r="CR60" s="65">
        <f t="shared" si="39"/>
        <v>0</v>
      </c>
      <c r="CS60" s="65">
        <f t="shared" si="39"/>
        <v>0</v>
      </c>
      <c r="CT60" s="65">
        <f t="shared" si="39"/>
        <v>0</v>
      </c>
      <c r="CU60" s="65">
        <f t="shared" si="39"/>
        <v>0</v>
      </c>
      <c r="CV60" s="65">
        <f t="shared" ref="CV60:FG60" si="40">CV44</f>
        <v>0</v>
      </c>
      <c r="CW60" s="65">
        <f t="shared" si="40"/>
        <v>0</v>
      </c>
      <c r="CX60" s="65">
        <f t="shared" si="40"/>
        <v>0</v>
      </c>
      <c r="CY60" s="65">
        <f t="shared" si="40"/>
        <v>0</v>
      </c>
      <c r="CZ60" s="65">
        <f t="shared" si="40"/>
        <v>0</v>
      </c>
      <c r="DA60" s="65">
        <f t="shared" si="40"/>
        <v>0</v>
      </c>
      <c r="DB60" s="65">
        <f t="shared" si="40"/>
        <v>0</v>
      </c>
      <c r="DC60" s="65">
        <f t="shared" si="40"/>
        <v>0</v>
      </c>
      <c r="DD60" s="65">
        <f t="shared" si="40"/>
        <v>0</v>
      </c>
      <c r="DE60" s="65">
        <f t="shared" si="40"/>
        <v>0</v>
      </c>
      <c r="DF60" s="65">
        <f t="shared" si="40"/>
        <v>0</v>
      </c>
      <c r="DG60" s="65">
        <f t="shared" si="40"/>
        <v>0</v>
      </c>
      <c r="DH60" s="65">
        <f t="shared" si="40"/>
        <v>0</v>
      </c>
      <c r="DI60" s="65">
        <f t="shared" si="40"/>
        <v>0</v>
      </c>
      <c r="DJ60" s="65">
        <f t="shared" si="40"/>
        <v>0</v>
      </c>
      <c r="DK60" s="65">
        <f t="shared" si="40"/>
        <v>0</v>
      </c>
      <c r="DL60" s="65">
        <f t="shared" si="40"/>
        <v>0</v>
      </c>
      <c r="DM60" s="65">
        <f t="shared" si="40"/>
        <v>0</v>
      </c>
      <c r="DN60" s="65">
        <f t="shared" si="40"/>
        <v>0</v>
      </c>
      <c r="DO60" s="65">
        <f t="shared" si="40"/>
        <v>0</v>
      </c>
      <c r="DP60" s="65">
        <f t="shared" si="40"/>
        <v>0</v>
      </c>
      <c r="DQ60" s="65">
        <f t="shared" si="40"/>
        <v>0</v>
      </c>
      <c r="DR60" s="65">
        <f t="shared" si="40"/>
        <v>0</v>
      </c>
      <c r="DS60" s="65">
        <f t="shared" si="40"/>
        <v>0</v>
      </c>
      <c r="DT60" s="65">
        <f t="shared" si="40"/>
        <v>0</v>
      </c>
      <c r="DU60" s="65">
        <f t="shared" si="40"/>
        <v>0</v>
      </c>
      <c r="DV60" s="65">
        <f t="shared" si="40"/>
        <v>0</v>
      </c>
      <c r="DW60" s="65">
        <f t="shared" si="40"/>
        <v>0</v>
      </c>
      <c r="DX60" s="65">
        <f t="shared" si="40"/>
        <v>0</v>
      </c>
      <c r="DY60" s="65">
        <f t="shared" si="40"/>
        <v>0</v>
      </c>
      <c r="DZ60" s="65">
        <f t="shared" si="40"/>
        <v>0</v>
      </c>
      <c r="EA60" s="65">
        <f t="shared" si="40"/>
        <v>0</v>
      </c>
      <c r="EB60" s="65">
        <f t="shared" si="40"/>
        <v>0</v>
      </c>
      <c r="EC60" s="65">
        <f t="shared" si="40"/>
        <v>0</v>
      </c>
      <c r="ED60" s="65">
        <f t="shared" si="40"/>
        <v>0</v>
      </c>
      <c r="EE60" s="65">
        <f t="shared" si="40"/>
        <v>0</v>
      </c>
      <c r="EF60" s="65">
        <f t="shared" si="40"/>
        <v>0</v>
      </c>
      <c r="EG60" s="65">
        <f t="shared" si="40"/>
        <v>0</v>
      </c>
      <c r="EH60" s="65">
        <f t="shared" si="40"/>
        <v>0</v>
      </c>
      <c r="EI60" s="65">
        <f t="shared" si="40"/>
        <v>0</v>
      </c>
      <c r="EJ60" s="65">
        <f t="shared" si="40"/>
        <v>0</v>
      </c>
      <c r="EK60" s="65">
        <f t="shared" si="40"/>
        <v>0</v>
      </c>
      <c r="EL60" s="65">
        <f t="shared" si="40"/>
        <v>0</v>
      </c>
      <c r="EM60" s="65">
        <f t="shared" si="40"/>
        <v>0</v>
      </c>
      <c r="EN60" s="65">
        <f t="shared" si="40"/>
        <v>0</v>
      </c>
      <c r="EO60" s="65">
        <f t="shared" si="40"/>
        <v>0</v>
      </c>
      <c r="EP60" s="65">
        <f t="shared" si="40"/>
        <v>0</v>
      </c>
      <c r="EQ60" s="65">
        <f t="shared" si="40"/>
        <v>0</v>
      </c>
      <c r="ER60" s="65">
        <f t="shared" si="40"/>
        <v>0</v>
      </c>
      <c r="ES60" s="65">
        <f t="shared" si="40"/>
        <v>0</v>
      </c>
      <c r="ET60" s="65">
        <f t="shared" si="40"/>
        <v>0</v>
      </c>
      <c r="EU60" s="65">
        <f t="shared" si="40"/>
        <v>0</v>
      </c>
      <c r="EV60" s="65">
        <f t="shared" si="40"/>
        <v>0</v>
      </c>
      <c r="EW60" s="65">
        <f t="shared" si="40"/>
        <v>0</v>
      </c>
      <c r="EX60" s="65">
        <f t="shared" si="40"/>
        <v>0</v>
      </c>
      <c r="EY60" s="65">
        <f t="shared" si="40"/>
        <v>0</v>
      </c>
      <c r="EZ60" s="65">
        <f t="shared" si="40"/>
        <v>0</v>
      </c>
      <c r="FA60" s="65">
        <f t="shared" si="40"/>
        <v>0</v>
      </c>
      <c r="FB60" s="65">
        <f t="shared" si="40"/>
        <v>0</v>
      </c>
      <c r="FC60" s="65">
        <f t="shared" si="40"/>
        <v>0</v>
      </c>
      <c r="FD60" s="65">
        <f t="shared" si="40"/>
        <v>0</v>
      </c>
      <c r="FE60" s="65">
        <f t="shared" si="40"/>
        <v>0</v>
      </c>
      <c r="FF60" s="65">
        <f t="shared" si="40"/>
        <v>0</v>
      </c>
      <c r="FG60" s="65">
        <f t="shared" si="40"/>
        <v>0</v>
      </c>
      <c r="FH60" s="65">
        <f t="shared" ref="FH60:HS60" si="41">FH44</f>
        <v>0</v>
      </c>
      <c r="FI60" s="65">
        <f t="shared" si="41"/>
        <v>0</v>
      </c>
      <c r="FJ60" s="65">
        <f t="shared" si="41"/>
        <v>0</v>
      </c>
      <c r="FK60" s="65">
        <f t="shared" si="41"/>
        <v>0</v>
      </c>
      <c r="FL60" s="65">
        <f t="shared" si="41"/>
        <v>0</v>
      </c>
      <c r="FM60" s="65">
        <f t="shared" si="41"/>
        <v>0</v>
      </c>
      <c r="FN60" s="65">
        <f t="shared" si="41"/>
        <v>0</v>
      </c>
      <c r="FO60" s="65">
        <f t="shared" si="41"/>
        <v>0</v>
      </c>
      <c r="FP60" s="65">
        <f t="shared" si="41"/>
        <v>0</v>
      </c>
      <c r="FQ60" s="65">
        <f t="shared" si="41"/>
        <v>0</v>
      </c>
      <c r="FR60" s="65">
        <f t="shared" si="41"/>
        <v>0</v>
      </c>
      <c r="FS60" s="65">
        <f t="shared" si="41"/>
        <v>0</v>
      </c>
      <c r="FT60" s="65">
        <f t="shared" si="41"/>
        <v>0</v>
      </c>
      <c r="FU60" s="65">
        <f t="shared" si="41"/>
        <v>0</v>
      </c>
      <c r="FV60" s="65">
        <f t="shared" si="41"/>
        <v>0</v>
      </c>
      <c r="FW60" s="65">
        <f t="shared" si="41"/>
        <v>0</v>
      </c>
      <c r="FX60" s="65">
        <f t="shared" si="41"/>
        <v>0</v>
      </c>
      <c r="FY60" s="65">
        <f t="shared" si="41"/>
        <v>0</v>
      </c>
      <c r="FZ60" s="65">
        <f t="shared" si="41"/>
        <v>0</v>
      </c>
      <c r="GA60" s="65">
        <f t="shared" si="41"/>
        <v>0</v>
      </c>
      <c r="GB60" s="65">
        <f t="shared" si="41"/>
        <v>0</v>
      </c>
      <c r="GC60" s="65">
        <f t="shared" si="41"/>
        <v>0</v>
      </c>
      <c r="GD60" s="65">
        <f t="shared" si="41"/>
        <v>0</v>
      </c>
      <c r="GE60" s="65">
        <f t="shared" si="41"/>
        <v>0</v>
      </c>
      <c r="GF60" s="65">
        <f t="shared" si="41"/>
        <v>0</v>
      </c>
      <c r="GG60" s="65">
        <f t="shared" si="41"/>
        <v>0</v>
      </c>
      <c r="GH60" s="65">
        <f t="shared" si="41"/>
        <v>0</v>
      </c>
      <c r="GI60" s="65">
        <f t="shared" si="41"/>
        <v>0</v>
      </c>
      <c r="GJ60" s="65">
        <f t="shared" si="41"/>
        <v>0</v>
      </c>
      <c r="GK60" s="65">
        <f t="shared" si="41"/>
        <v>0</v>
      </c>
      <c r="GL60" s="65">
        <f t="shared" si="41"/>
        <v>0</v>
      </c>
      <c r="GM60" s="65">
        <f t="shared" si="41"/>
        <v>0</v>
      </c>
      <c r="GN60" s="65">
        <f t="shared" si="41"/>
        <v>0</v>
      </c>
      <c r="GO60" s="65">
        <f t="shared" si="41"/>
        <v>0</v>
      </c>
      <c r="GP60" s="65">
        <f t="shared" si="41"/>
        <v>0</v>
      </c>
      <c r="GQ60" s="65">
        <f t="shared" si="41"/>
        <v>0</v>
      </c>
      <c r="GR60" s="65">
        <f t="shared" si="41"/>
        <v>0</v>
      </c>
      <c r="GS60" s="65">
        <f t="shared" si="41"/>
        <v>0</v>
      </c>
      <c r="GT60" s="65">
        <f t="shared" si="41"/>
        <v>0</v>
      </c>
      <c r="GU60" s="65">
        <f t="shared" si="41"/>
        <v>0</v>
      </c>
      <c r="GV60" s="65">
        <f t="shared" si="41"/>
        <v>0</v>
      </c>
      <c r="GW60" s="65">
        <f t="shared" si="41"/>
        <v>0</v>
      </c>
      <c r="GX60" s="65">
        <f t="shared" si="41"/>
        <v>0</v>
      </c>
      <c r="GY60" s="65">
        <f t="shared" si="41"/>
        <v>0</v>
      </c>
      <c r="GZ60" s="65">
        <f t="shared" si="41"/>
        <v>0</v>
      </c>
      <c r="HA60" s="65">
        <f t="shared" si="41"/>
        <v>0</v>
      </c>
      <c r="HB60" s="65">
        <f t="shared" si="41"/>
        <v>0</v>
      </c>
      <c r="HC60" s="65">
        <f t="shared" si="41"/>
        <v>0</v>
      </c>
      <c r="HD60" s="65">
        <f t="shared" si="41"/>
        <v>0</v>
      </c>
      <c r="HE60" s="65">
        <f t="shared" si="41"/>
        <v>0</v>
      </c>
      <c r="HF60" s="65">
        <f t="shared" si="41"/>
        <v>0</v>
      </c>
      <c r="HG60" s="65">
        <f t="shared" si="41"/>
        <v>0</v>
      </c>
      <c r="HH60" s="65">
        <f t="shared" si="41"/>
        <v>0</v>
      </c>
      <c r="HI60" s="65">
        <f t="shared" si="41"/>
        <v>0</v>
      </c>
      <c r="HJ60" s="65">
        <f t="shared" si="41"/>
        <v>0</v>
      </c>
      <c r="HK60" s="65">
        <f t="shared" si="41"/>
        <v>0</v>
      </c>
      <c r="HL60" s="65">
        <f t="shared" si="41"/>
        <v>0</v>
      </c>
      <c r="HM60" s="65">
        <f t="shared" si="41"/>
        <v>0</v>
      </c>
      <c r="HN60" s="65">
        <f t="shared" si="41"/>
        <v>0</v>
      </c>
      <c r="HO60" s="65">
        <f t="shared" si="41"/>
        <v>0</v>
      </c>
      <c r="HP60" s="65">
        <f t="shared" si="41"/>
        <v>0</v>
      </c>
      <c r="HQ60" s="65">
        <f t="shared" si="41"/>
        <v>0</v>
      </c>
      <c r="HR60" s="65">
        <f t="shared" si="41"/>
        <v>0</v>
      </c>
      <c r="HS60" s="65">
        <f t="shared" si="41"/>
        <v>0</v>
      </c>
      <c r="HT60" s="65">
        <f t="shared" ref="HT60:IV60" si="42">HT44</f>
        <v>0</v>
      </c>
      <c r="HU60" s="65">
        <f t="shared" si="42"/>
        <v>0</v>
      </c>
      <c r="HV60" s="65">
        <f t="shared" si="42"/>
        <v>0</v>
      </c>
      <c r="HW60" s="65">
        <f t="shared" si="42"/>
        <v>0</v>
      </c>
      <c r="HX60" s="65">
        <f t="shared" si="42"/>
        <v>0</v>
      </c>
      <c r="HY60" s="65">
        <f t="shared" si="42"/>
        <v>0</v>
      </c>
      <c r="HZ60" s="65">
        <f t="shared" si="42"/>
        <v>0</v>
      </c>
      <c r="IA60" s="65">
        <f t="shared" si="42"/>
        <v>0</v>
      </c>
      <c r="IB60" s="65">
        <f t="shared" si="42"/>
        <v>0</v>
      </c>
      <c r="IC60" s="65">
        <f t="shared" si="42"/>
        <v>0</v>
      </c>
      <c r="ID60" s="65">
        <f t="shared" si="42"/>
        <v>0</v>
      </c>
      <c r="IE60" s="65">
        <f t="shared" si="42"/>
        <v>0</v>
      </c>
      <c r="IF60" s="65">
        <f t="shared" si="42"/>
        <v>0</v>
      </c>
      <c r="IG60" s="65">
        <f t="shared" si="42"/>
        <v>0</v>
      </c>
      <c r="IH60" s="65">
        <f t="shared" si="42"/>
        <v>0</v>
      </c>
      <c r="II60" s="65">
        <f t="shared" si="42"/>
        <v>0</v>
      </c>
      <c r="IJ60" s="65">
        <f t="shared" si="42"/>
        <v>0</v>
      </c>
      <c r="IK60" s="65">
        <f t="shared" si="42"/>
        <v>0</v>
      </c>
      <c r="IL60" s="65">
        <f t="shared" si="42"/>
        <v>0</v>
      </c>
      <c r="IM60" s="65">
        <f t="shared" si="42"/>
        <v>0</v>
      </c>
      <c r="IN60" s="65">
        <f t="shared" si="42"/>
        <v>0</v>
      </c>
      <c r="IO60" s="65">
        <f t="shared" si="42"/>
        <v>0</v>
      </c>
      <c r="IP60" s="65">
        <f t="shared" si="42"/>
        <v>0</v>
      </c>
      <c r="IQ60" s="65">
        <f t="shared" si="42"/>
        <v>0</v>
      </c>
      <c r="IR60" s="65">
        <f t="shared" si="42"/>
        <v>0</v>
      </c>
      <c r="IS60" s="65">
        <f t="shared" si="42"/>
        <v>0</v>
      </c>
      <c r="IT60" s="65">
        <f t="shared" si="42"/>
        <v>0</v>
      </c>
      <c r="IU60" s="65">
        <f t="shared" si="42"/>
        <v>0</v>
      </c>
      <c r="IV60" s="65">
        <f t="shared" si="42"/>
        <v>0</v>
      </c>
    </row>
    <row r="61" spans="1:256" s="65" customFormat="1">
      <c r="B61" s="65" t="s">
        <v>89</v>
      </c>
      <c r="C61" s="109">
        <f t="shared" ref="C61:AG61" si="43">$C17*C19-$C17*((C19*C19)/(2*$C37))</f>
        <v>0</v>
      </c>
      <c r="D61" s="109">
        <f t="shared" si="43"/>
        <v>0.39333333333329923</v>
      </c>
      <c r="E61" s="109">
        <f t="shared" si="43"/>
        <v>0.77333333333326748</v>
      </c>
      <c r="F61" s="109">
        <f t="shared" si="43"/>
        <v>1.1399999999999049</v>
      </c>
      <c r="G61" s="109">
        <f t="shared" si="43"/>
        <v>1.4933333333332111</v>
      </c>
      <c r="H61" s="109">
        <f t="shared" si="43"/>
        <v>1.8333333333331863</v>
      </c>
      <c r="I61" s="109">
        <f t="shared" si="43"/>
        <v>2.1599999999998305</v>
      </c>
      <c r="J61" s="109">
        <f t="shared" si="43"/>
        <v>2.473333333333144</v>
      </c>
      <c r="K61" s="109">
        <f t="shared" si="43"/>
        <v>2.773333333333126</v>
      </c>
      <c r="L61" s="109">
        <f t="shared" si="43"/>
        <v>3.0599999999997776</v>
      </c>
      <c r="M61" s="109">
        <f t="shared" si="43"/>
        <v>3.3333333333330977</v>
      </c>
      <c r="N61" s="109">
        <f t="shared" si="43"/>
        <v>3.5933333333330877</v>
      </c>
      <c r="O61" s="109">
        <f t="shared" si="43"/>
        <v>3.8399999999997458</v>
      </c>
      <c r="P61" s="109">
        <f t="shared" si="43"/>
        <v>4.0733333333330739</v>
      </c>
      <c r="Q61" s="109">
        <f t="shared" si="43"/>
        <v>4.2933333333330701</v>
      </c>
      <c r="R61" s="109">
        <f t="shared" si="43"/>
        <v>4.4999999999997362</v>
      </c>
      <c r="S61" s="109">
        <f t="shared" si="43"/>
        <v>4.6933333333330705</v>
      </c>
      <c r="T61" s="109">
        <f t="shared" si="43"/>
        <v>4.8733333333330737</v>
      </c>
      <c r="U61" s="109">
        <f t="shared" si="43"/>
        <v>5.0399999999997469</v>
      </c>
      <c r="V61" s="109">
        <f t="shared" si="43"/>
        <v>5.1933333333330873</v>
      </c>
      <c r="W61" s="109">
        <f t="shared" si="43"/>
        <v>5.3333333333330994</v>
      </c>
      <c r="X61" s="109">
        <f t="shared" si="43"/>
        <v>5.459999999999777</v>
      </c>
      <c r="Y61" s="109">
        <f t="shared" si="43"/>
        <v>5.5733333333331281</v>
      </c>
      <c r="Z61" s="109">
        <f t="shared" si="43"/>
        <v>5.6733333333331455</v>
      </c>
      <c r="AA61" s="109">
        <f t="shared" si="43"/>
        <v>5.759999999999831</v>
      </c>
      <c r="AB61" s="109">
        <f t="shared" si="43"/>
        <v>5.8333333333331874</v>
      </c>
      <c r="AC61" s="109">
        <f t="shared" si="43"/>
        <v>5.893333333333211</v>
      </c>
      <c r="AD61" s="109">
        <f t="shared" si="43"/>
        <v>5.9399999999999054</v>
      </c>
      <c r="AE61" s="109">
        <f t="shared" si="43"/>
        <v>5.9733333333332679</v>
      </c>
      <c r="AF61" s="109">
        <f t="shared" si="43"/>
        <v>5.9933333333332985</v>
      </c>
      <c r="AG61" s="110">
        <f t="shared" si="43"/>
        <v>6</v>
      </c>
      <c r="AH61" s="111">
        <f t="shared" ref="AH61:BM61" si="44">AH45</f>
        <v>6</v>
      </c>
      <c r="AI61" s="111">
        <f t="shared" si="44"/>
        <v>6</v>
      </c>
      <c r="AJ61" s="109">
        <f t="shared" si="44"/>
        <v>6</v>
      </c>
      <c r="AK61" s="112">
        <f t="shared" si="44"/>
        <v>6</v>
      </c>
      <c r="AL61" s="109">
        <f t="shared" si="44"/>
        <v>5.9804687500000231</v>
      </c>
      <c r="AM61" s="109">
        <f t="shared" si="44"/>
        <v>5.9875000000000185</v>
      </c>
      <c r="AN61" s="109">
        <f t="shared" si="44"/>
        <v>5.9929687500000135</v>
      </c>
      <c r="AO61" s="109">
        <f t="shared" si="44"/>
        <v>5.9968750000000091</v>
      </c>
      <c r="AP61" s="109">
        <f t="shared" si="44"/>
        <v>5.9992187500000043</v>
      </c>
      <c r="AQ61" s="109">
        <f t="shared" si="44"/>
        <v>6</v>
      </c>
      <c r="AR61" s="109">
        <f t="shared" si="44"/>
        <v>5.9992187499999963</v>
      </c>
      <c r="AS61" s="109">
        <f t="shared" si="44"/>
        <v>5.9968749999999922</v>
      </c>
      <c r="AT61" s="109">
        <f t="shared" si="44"/>
        <v>5.9929687499999877</v>
      </c>
      <c r="AU61" s="109">
        <f t="shared" si="44"/>
        <v>5.9874999999999847</v>
      </c>
      <c r="AV61" s="109">
        <f t="shared" si="44"/>
        <v>5.9804687499999813</v>
      </c>
      <c r="AW61" s="109">
        <f t="shared" si="44"/>
        <v>5.9718749999999776</v>
      </c>
      <c r="AX61" s="109">
        <f t="shared" si="44"/>
        <v>5.9617187499999744</v>
      </c>
      <c r="AY61" s="109">
        <f t="shared" si="44"/>
        <v>5.9499999999999718</v>
      </c>
      <c r="AZ61" s="109">
        <f t="shared" si="44"/>
        <v>5.9367187499999687</v>
      </c>
      <c r="BA61" s="109">
        <f t="shared" si="44"/>
        <v>5.9218749999999662</v>
      </c>
      <c r="BB61" s="109">
        <f t="shared" si="44"/>
        <v>5.9054687499999643</v>
      </c>
      <c r="BC61" s="109">
        <f t="shared" si="44"/>
        <v>5.887499999999962</v>
      </c>
      <c r="BD61" s="109">
        <f t="shared" si="44"/>
        <v>5.8679687499999593</v>
      </c>
      <c r="BE61" s="109">
        <f t="shared" si="44"/>
        <v>5.8468749999999581</v>
      </c>
      <c r="BF61" s="109">
        <f t="shared" si="44"/>
        <v>5.8242187499999565</v>
      </c>
      <c r="BG61" s="109">
        <f t="shared" si="44"/>
        <v>5.7999999999999545</v>
      </c>
      <c r="BH61" s="109">
        <f t="shared" si="44"/>
        <v>5.7742187499999531</v>
      </c>
      <c r="BI61" s="109">
        <f t="shared" si="44"/>
        <v>5.7468749999999522</v>
      </c>
      <c r="BJ61" s="109">
        <f t="shared" si="44"/>
        <v>5.717968749999951</v>
      </c>
      <c r="BK61" s="109">
        <f t="shared" si="44"/>
        <v>5.6874999999999503</v>
      </c>
      <c r="BL61" s="109">
        <f t="shared" si="44"/>
        <v>5.6554687499999492</v>
      </c>
      <c r="BM61" s="109">
        <f t="shared" si="44"/>
        <v>5.6218749999999496</v>
      </c>
      <c r="BN61" s="109">
        <f t="shared" ref="BN61:CN61" si="45">BN45</f>
        <v>5.5867187499999487</v>
      </c>
      <c r="BO61" s="109">
        <f t="shared" si="45"/>
        <v>5.5499999999999492</v>
      </c>
      <c r="BP61" s="109">
        <f t="shared" si="45"/>
        <v>5.5117187499999494</v>
      </c>
      <c r="BQ61" s="109">
        <f t="shared" si="45"/>
        <v>5.4718749999999492</v>
      </c>
      <c r="BR61" s="109">
        <f t="shared" si="45"/>
        <v>5.4304687499999496</v>
      </c>
      <c r="BS61" s="109">
        <f t="shared" si="45"/>
        <v>5.3874999999999504</v>
      </c>
      <c r="BT61" s="109">
        <f t="shared" si="45"/>
        <v>5.342968749999951</v>
      </c>
      <c r="BU61" s="109">
        <f t="shared" si="45"/>
        <v>5.296874999999952</v>
      </c>
      <c r="BV61" s="109">
        <f t="shared" si="45"/>
        <v>5.2492187499999527</v>
      </c>
      <c r="BW61" s="109">
        <f t="shared" si="45"/>
        <v>5.1999999999999549</v>
      </c>
      <c r="BX61" s="109">
        <f t="shared" si="45"/>
        <v>5.1492187499999558</v>
      </c>
      <c r="BY61" s="109">
        <f t="shared" si="45"/>
        <v>5.0968749999999581</v>
      </c>
      <c r="BZ61" s="109">
        <f t="shared" si="45"/>
        <v>5.0429687499999591</v>
      </c>
      <c r="CA61" s="109">
        <f t="shared" si="45"/>
        <v>4.9874999999999616</v>
      </c>
      <c r="CB61" s="109">
        <f t="shared" si="45"/>
        <v>4.9304687499999638</v>
      </c>
      <c r="CC61" s="109">
        <f t="shared" si="45"/>
        <v>4.8718749999999664</v>
      </c>
      <c r="CD61" s="109">
        <f t="shared" si="45"/>
        <v>4.8117187499999687</v>
      </c>
      <c r="CE61" s="109">
        <f t="shared" si="45"/>
        <v>4.7499999999999716</v>
      </c>
      <c r="CF61" s="109">
        <f t="shared" si="45"/>
        <v>4.6867187499999741</v>
      </c>
      <c r="CG61" s="109">
        <f t="shared" si="45"/>
        <v>4.621874999999978</v>
      </c>
      <c r="CH61" s="109">
        <f t="shared" si="45"/>
        <v>4.5554687499999806</v>
      </c>
      <c r="CI61" s="109">
        <f t="shared" si="45"/>
        <v>4.4874999999999847</v>
      </c>
      <c r="CJ61" s="109">
        <f t="shared" si="45"/>
        <v>4.4179687499999876</v>
      </c>
      <c r="CK61" s="109">
        <f t="shared" si="45"/>
        <v>4.3468749999999918</v>
      </c>
      <c r="CL61" s="109">
        <f t="shared" si="45"/>
        <v>4.2742187499999957</v>
      </c>
      <c r="CM61" s="109">
        <f t="shared" si="45"/>
        <v>4.1999999999999993</v>
      </c>
      <c r="CN61" s="109">
        <f t="shared" si="45"/>
        <v>0</v>
      </c>
    </row>
    <row r="62" spans="1:256" s="65" customFormat="1">
      <c r="B62" s="65" t="s">
        <v>90</v>
      </c>
      <c r="C62" s="109">
        <f t="shared" ref="C62:AF62" si="46">C47</f>
        <v>144434.53575000001</v>
      </c>
      <c r="D62" s="109">
        <f t="shared" si="46"/>
        <v>143017.18137666679</v>
      </c>
      <c r="E62" s="109">
        <f t="shared" si="46"/>
        <v>141605.39036333357</v>
      </c>
      <c r="F62" s="109">
        <f t="shared" si="46"/>
        <v>140198.97087000037</v>
      </c>
      <c r="G62" s="109">
        <f t="shared" si="46"/>
        <v>138797.73105666717</v>
      </c>
      <c r="H62" s="109">
        <f t="shared" si="46"/>
        <v>137401.47908333395</v>
      </c>
      <c r="I62" s="109">
        <f t="shared" si="46"/>
        <v>136010.02311000077</v>
      </c>
      <c r="J62" s="109">
        <f t="shared" si="46"/>
        <v>134623.17129666751</v>
      </c>
      <c r="K62" s="109">
        <f t="shared" si="46"/>
        <v>133240.73180333432</v>
      </c>
      <c r="L62" s="109">
        <f t="shared" si="46"/>
        <v>131862.51279000108</v>
      </c>
      <c r="M62" s="109">
        <f t="shared" si="46"/>
        <v>130488.32241666788</v>
      </c>
      <c r="N62" s="109">
        <f t="shared" si="46"/>
        <v>129117.96884333466</v>
      </c>
      <c r="O62" s="109">
        <f t="shared" si="46"/>
        <v>127751.26023000144</v>
      </c>
      <c r="P62" s="109">
        <f t="shared" si="46"/>
        <v>126388.00473666823</v>
      </c>
      <c r="Q62" s="109">
        <f t="shared" si="46"/>
        <v>125028.01052333505</v>
      </c>
      <c r="R62" s="109">
        <f t="shared" si="46"/>
        <v>123671.08575000179</v>
      </c>
      <c r="S62" s="109">
        <f t="shared" si="46"/>
        <v>122317.03857666858</v>
      </c>
      <c r="T62" s="109">
        <f t="shared" si="46"/>
        <v>120965.67716333535</v>
      </c>
      <c r="U62" s="109">
        <f t="shared" si="46"/>
        <v>119616.80967000214</v>
      </c>
      <c r="V62" s="109">
        <f t="shared" si="46"/>
        <v>118270.24425666893</v>
      </c>
      <c r="W62" s="109">
        <f t="shared" si="46"/>
        <v>116925.78908333569</v>
      </c>
      <c r="X62" s="109">
        <f t="shared" si="46"/>
        <v>115583.25231000248</v>
      </c>
      <c r="Y62" s="109">
        <f t="shared" si="46"/>
        <v>114242.44209666927</v>
      </c>
      <c r="Z62" s="109">
        <f t="shared" si="46"/>
        <v>112903.16660333604</v>
      </c>
      <c r="AA62" s="109">
        <f t="shared" si="46"/>
        <v>111565.23399000282</v>
      </c>
      <c r="AB62" s="109">
        <f t="shared" si="46"/>
        <v>110228.45241666959</v>
      </c>
      <c r="AC62" s="109">
        <f t="shared" si="46"/>
        <v>108892.63004333639</v>
      </c>
      <c r="AD62" s="109">
        <f t="shared" si="46"/>
        <v>107557.57503000318</v>
      </c>
      <c r="AE62" s="109">
        <f t="shared" si="46"/>
        <v>106223.09553666996</v>
      </c>
      <c r="AF62" s="109">
        <f t="shared" si="46"/>
        <v>104888.99972333673</v>
      </c>
      <c r="AG62" s="109">
        <f>AG47</f>
        <v>103555.09575000354</v>
      </c>
      <c r="AH62" s="109">
        <f>AH47</f>
        <v>101914.86375</v>
      </c>
      <c r="AI62" s="109">
        <f t="shared" ref="AI62:BN62" si="47">AI47</f>
        <v>108766.93293000004</v>
      </c>
      <c r="AJ62" s="109">
        <f t="shared" si="47"/>
        <v>101914.86375</v>
      </c>
      <c r="AK62" s="112">
        <f>AK47</f>
        <v>101914.86375</v>
      </c>
      <c r="AL62" s="109">
        <f t="shared" si="47"/>
        <v>88882.466440425065</v>
      </c>
      <c r="AM62" s="109">
        <f t="shared" si="47"/>
        <v>87412.777627495438</v>
      </c>
      <c r="AN62" s="109">
        <f t="shared" si="47"/>
        <v>85943.098931128348</v>
      </c>
      <c r="AO62" s="109">
        <f t="shared" si="47"/>
        <v>84473.427822183119</v>
      </c>
      <c r="AP62" s="109">
        <f t="shared" si="47"/>
        <v>83003.76177151913</v>
      </c>
      <c r="AQ62" s="109">
        <f t="shared" si="47"/>
        <v>81534.098249995805</v>
      </c>
      <c r="AR62" s="109">
        <f t="shared" si="47"/>
        <v>80064.434728472435</v>
      </c>
      <c r="AS62" s="109">
        <f t="shared" si="47"/>
        <v>78594.768677808446</v>
      </c>
      <c r="AT62" s="109">
        <f t="shared" si="47"/>
        <v>77125.097568863202</v>
      </c>
      <c r="AU62" s="109">
        <f t="shared" si="47"/>
        <v>75655.418872496128</v>
      </c>
      <c r="AV62" s="109">
        <f t="shared" si="47"/>
        <v>74185.730059566515</v>
      </c>
      <c r="AW62" s="109">
        <f t="shared" si="47"/>
        <v>72716.028600933787</v>
      </c>
      <c r="AX62" s="109">
        <f t="shared" si="47"/>
        <v>71246.311967457281</v>
      </c>
      <c r="AY62" s="109">
        <f t="shared" si="47"/>
        <v>69776.577629996449</v>
      </c>
      <c r="AZ62" s="109">
        <f t="shared" si="47"/>
        <v>68306.823059410613</v>
      </c>
      <c r="BA62" s="109">
        <f t="shared" si="47"/>
        <v>66837.045726559125</v>
      </c>
      <c r="BB62" s="109">
        <f t="shared" si="47"/>
        <v>65367.243102301385</v>
      </c>
      <c r="BC62" s="109">
        <f t="shared" si="47"/>
        <v>63897.412657496767</v>
      </c>
      <c r="BD62" s="109">
        <f t="shared" si="47"/>
        <v>62427.551863004686</v>
      </c>
      <c r="BE62" s="109">
        <f t="shared" si="47"/>
        <v>60957.658189684473</v>
      </c>
      <c r="BF62" s="109">
        <f t="shared" si="47"/>
        <v>59487.729108395484</v>
      </c>
      <c r="BG62" s="109">
        <f t="shared" si="47"/>
        <v>58017.762089997108</v>
      </c>
      <c r="BH62" s="109">
        <f t="shared" si="47"/>
        <v>56547.754605348746</v>
      </c>
      <c r="BI62" s="109">
        <f t="shared" si="47"/>
        <v>55077.704125309785</v>
      </c>
      <c r="BJ62" s="109">
        <f t="shared" si="47"/>
        <v>53607.608120739555</v>
      </c>
      <c r="BK62" s="109">
        <f t="shared" si="47"/>
        <v>52137.464062497427</v>
      </c>
      <c r="BL62" s="109">
        <f t="shared" si="47"/>
        <v>50667.269421442834</v>
      </c>
      <c r="BM62" s="109">
        <f t="shared" si="47"/>
        <v>49197.021668435118</v>
      </c>
      <c r="BN62" s="109">
        <f t="shared" si="47"/>
        <v>47726.718274333623</v>
      </c>
      <c r="BO62" s="109">
        <f t="shared" ref="BO62:CM62" si="48">BO47</f>
        <v>46256.356709997788</v>
      </c>
      <c r="BP62" s="109">
        <f t="shared" si="48"/>
        <v>44785.934446286919</v>
      </c>
      <c r="BQ62" s="109">
        <f t="shared" si="48"/>
        <v>43315.448954060455</v>
      </c>
      <c r="BR62" s="109">
        <f t="shared" si="48"/>
        <v>41844.897704177711</v>
      </c>
      <c r="BS62" s="109">
        <f t="shared" si="48"/>
        <v>40374.278167498138</v>
      </c>
      <c r="BT62" s="109">
        <f t="shared" si="48"/>
        <v>38903.587814881008</v>
      </c>
      <c r="BU62" s="109">
        <f t="shared" si="48"/>
        <v>37432.824117185803</v>
      </c>
      <c r="BV62" s="109">
        <f t="shared" si="48"/>
        <v>35961.984545271815</v>
      </c>
      <c r="BW62" s="109">
        <f t="shared" si="48"/>
        <v>34491.06656999846</v>
      </c>
      <c r="BX62" s="109">
        <f t="shared" si="48"/>
        <v>33020.067662225083</v>
      </c>
      <c r="BY62" s="109">
        <f t="shared" si="48"/>
        <v>31548.985292811092</v>
      </c>
      <c r="BZ62" s="109">
        <f t="shared" si="48"/>
        <v>30077.816932615868</v>
      </c>
      <c r="CA62" s="109">
        <f t="shared" si="48"/>
        <v>28606.560052498775</v>
      </c>
      <c r="CB62" s="109">
        <f t="shared" si="48"/>
        <v>27135.212123319194</v>
      </c>
      <c r="CC62" s="109">
        <f t="shared" si="48"/>
        <v>25663.770615936432</v>
      </c>
      <c r="CD62" s="109">
        <f t="shared" si="48"/>
        <v>24192.23300120997</v>
      </c>
      <c r="CE62" s="109">
        <f t="shared" si="48"/>
        <v>22720.596749999109</v>
      </c>
      <c r="CF62" s="109">
        <f t="shared" si="48"/>
        <v>21248.859333163266</v>
      </c>
      <c r="CG62" s="109">
        <f t="shared" si="48"/>
        <v>19777.018221561804</v>
      </c>
      <c r="CH62" s="109">
        <f t="shared" si="48"/>
        <v>18305.070886054047</v>
      </c>
      <c r="CI62" s="109">
        <f t="shared" si="48"/>
        <v>16833.014797499462</v>
      </c>
      <c r="CJ62" s="109">
        <f t="shared" si="48"/>
        <v>15360.847426757362</v>
      </c>
      <c r="CK62" s="109">
        <f t="shared" si="48"/>
        <v>13888.566244687114</v>
      </c>
      <c r="CL62" s="109">
        <f t="shared" si="48"/>
        <v>12416.168722148126</v>
      </c>
      <c r="CM62" s="109">
        <f t="shared" si="48"/>
        <v>10943.652329999793</v>
      </c>
      <c r="CN62" s="109">
        <v>0</v>
      </c>
    </row>
    <row r="63" spans="1:256" s="64" customFormat="1">
      <c r="AK63" s="85"/>
    </row>
    <row r="64" spans="1:256" s="64" customFormat="1">
      <c r="AK64" s="85"/>
    </row>
    <row r="65" spans="37:37" s="64" customFormat="1">
      <c r="AK65" s="85"/>
    </row>
    <row r="66" spans="37:37" s="64" customFormat="1">
      <c r="AK66" s="85"/>
    </row>
    <row r="67" spans="37:37" s="64" customFormat="1">
      <c r="AK67" s="85"/>
    </row>
    <row r="68" spans="37:37" s="64" customFormat="1">
      <c r="AK68" s="85"/>
    </row>
    <row r="69" spans="37:37" s="64" customFormat="1">
      <c r="AK69" s="85"/>
    </row>
    <row r="70" spans="37:37" s="64" customFormat="1">
      <c r="AK70" s="85"/>
    </row>
    <row r="71" spans="37:37" s="64" customFormat="1">
      <c r="AK71" s="85"/>
    </row>
    <row r="72" spans="37:37" s="64" customFormat="1">
      <c r="AK72" s="85"/>
    </row>
    <row r="73" spans="37:37" s="64" customFormat="1">
      <c r="AK73" s="85"/>
    </row>
    <row r="74" spans="37:37" s="64" customFormat="1">
      <c r="AK74" s="85"/>
    </row>
    <row r="75" spans="37:37" s="64" customFormat="1">
      <c r="AK75" s="85"/>
    </row>
    <row r="76" spans="37:37" s="64" customFormat="1">
      <c r="AK76" s="85"/>
    </row>
    <row r="77" spans="37:37" s="64" customFormat="1">
      <c r="AK77" s="85"/>
    </row>
    <row r="78" spans="37:37" s="64" customFormat="1">
      <c r="AK78" s="85"/>
    </row>
    <row r="79" spans="37:37" s="64" customFormat="1">
      <c r="AK79" s="85"/>
    </row>
    <row r="80" spans="37:37" s="64" customFormat="1">
      <c r="AK80" s="85"/>
    </row>
    <row r="81" spans="37:37" s="64" customFormat="1">
      <c r="AK81" s="85"/>
    </row>
    <row r="82" spans="37:37" s="64" customFormat="1">
      <c r="AK82" s="85"/>
    </row>
    <row r="83" spans="37:37" s="64" customFormat="1">
      <c r="AK83" s="85"/>
    </row>
    <row r="84" spans="37:37" s="64" customFormat="1">
      <c r="AK84" s="85"/>
    </row>
    <row r="85" spans="37:37" s="64" customFormat="1">
      <c r="AK85" s="85"/>
    </row>
    <row r="86" spans="37:37" s="64" customFormat="1">
      <c r="AK86" s="85"/>
    </row>
    <row r="87" spans="37:37" s="64" customFormat="1">
      <c r="AK87" s="85"/>
    </row>
    <row r="88" spans="37:37" s="64" customFormat="1">
      <c r="AK88" s="85"/>
    </row>
    <row r="89" spans="37:37" s="64" customFormat="1">
      <c r="AK89" s="85"/>
    </row>
    <row r="90" spans="37:37" s="64" customFormat="1">
      <c r="AK90" s="85"/>
    </row>
    <row r="91" spans="37:37" s="64" customFormat="1">
      <c r="AK91" s="85"/>
    </row>
    <row r="92" spans="37:37" s="64" customFormat="1">
      <c r="AK92" s="85"/>
    </row>
    <row r="93" spans="37:37" s="64" customFormat="1">
      <c r="AK93" s="85"/>
    </row>
    <row r="94" spans="37:37" s="64" customFormat="1">
      <c r="AK94" s="85"/>
    </row>
    <row r="95" spans="37:37" s="64" customFormat="1">
      <c r="AK95" s="85"/>
    </row>
    <row r="96" spans="37:37" s="64" customFormat="1">
      <c r="AK96" s="85"/>
    </row>
    <row r="97" spans="37:37" s="64" customFormat="1">
      <c r="AK97" s="85"/>
    </row>
    <row r="98" spans="37:37" s="64" customFormat="1">
      <c r="AK98" s="85"/>
    </row>
    <row r="99" spans="37:37" s="64" customFormat="1">
      <c r="AK99" s="85"/>
    </row>
    <row r="100" spans="37:37" s="64" customFormat="1">
      <c r="AK100" s="85"/>
    </row>
    <row r="101" spans="37:37" s="4" customFormat="1">
      <c r="AK101" s="84"/>
    </row>
    <row r="102" spans="37:37" s="4" customFormat="1">
      <c r="AK102" s="84"/>
    </row>
    <row r="103" spans="37:37" s="4" customFormat="1">
      <c r="AK103" s="84"/>
    </row>
    <row r="104" spans="37:37" s="4" customFormat="1">
      <c r="AK104" s="84"/>
    </row>
    <row r="105" spans="37:37" s="4" customFormat="1">
      <c r="AK105" s="84"/>
    </row>
    <row r="106" spans="37:37" s="4" customFormat="1">
      <c r="AK106" s="84"/>
    </row>
    <row r="107" spans="37:37" s="4" customFormat="1">
      <c r="AK107" s="84"/>
    </row>
    <row r="108" spans="37:37" s="4" customFormat="1">
      <c r="AK108" s="84"/>
    </row>
    <row r="109" spans="37:37" s="4" customFormat="1">
      <c r="AK109" s="84"/>
    </row>
    <row r="110" spans="37:37" s="4" customFormat="1">
      <c r="AK110" s="84"/>
    </row>
    <row r="111" spans="37:37" s="4" customFormat="1">
      <c r="AK111" s="84"/>
    </row>
    <row r="112" spans="37:37" s="4" customFormat="1">
      <c r="AK112" s="84"/>
    </row>
    <row r="113" spans="37:55" s="4" customFormat="1">
      <c r="AK113" s="84"/>
    </row>
    <row r="114" spans="37:55" s="4" customFormat="1">
      <c r="AK114" s="84"/>
    </row>
    <row r="115" spans="37:55" s="4" customFormat="1">
      <c r="AK115" s="84"/>
    </row>
    <row r="116" spans="37:55" s="4" customFormat="1">
      <c r="AK116" s="84"/>
    </row>
    <row r="117" spans="37:55" s="4" customFormat="1">
      <c r="AK117" s="84"/>
    </row>
    <row r="118" spans="37:55" s="4" customFormat="1">
      <c r="AK118" s="84"/>
    </row>
    <row r="119" spans="37:55" s="4" customFormat="1">
      <c r="AK119" s="84"/>
    </row>
    <row r="120" spans="37:55" s="4" customFormat="1">
      <c r="AK120" s="84"/>
    </row>
    <row r="121" spans="37:55" s="4" customFormat="1">
      <c r="AK121" s="84"/>
    </row>
    <row r="122" spans="37:55" s="4" customFormat="1">
      <c r="AK122" s="84"/>
    </row>
    <row r="123" spans="37:55" s="4" customFormat="1">
      <c r="AK123" s="84"/>
    </row>
    <row r="124" spans="37:55" s="4" customFormat="1">
      <c r="AK124" s="84"/>
      <c r="BA124" s="78"/>
      <c r="BC124" s="78"/>
    </row>
    <row r="125" spans="37:55" s="4" customFormat="1">
      <c r="AK125" s="84"/>
      <c r="BA125" s="78"/>
      <c r="BC125" s="78"/>
    </row>
    <row r="126" spans="37:55" s="4" customFormat="1">
      <c r="AK126" s="84"/>
      <c r="BA126" s="78"/>
      <c r="BC126" s="78"/>
    </row>
    <row r="127" spans="37:55" s="4" customFormat="1">
      <c r="AK127" s="84"/>
      <c r="BA127" s="78"/>
      <c r="BC127" s="78"/>
    </row>
    <row r="128" spans="37:55" s="4" customFormat="1">
      <c r="AK128" s="84"/>
      <c r="BA128" s="78"/>
      <c r="BC128" s="78"/>
    </row>
    <row r="129" spans="37:55" s="4" customFormat="1">
      <c r="AK129" s="84"/>
      <c r="BA129" s="78"/>
      <c r="BC129" s="78"/>
    </row>
    <row r="130" spans="37:55" s="4" customFormat="1">
      <c r="AK130" s="84"/>
      <c r="BA130" s="78"/>
      <c r="BC130" s="78"/>
    </row>
    <row r="131" spans="37:55" s="4" customFormat="1">
      <c r="AK131" s="84"/>
      <c r="BA131" s="78"/>
      <c r="BC131" s="78"/>
    </row>
    <row r="132" spans="37:55" s="4" customFormat="1">
      <c r="AK132" s="84"/>
      <c r="BA132" s="78"/>
      <c r="BC132" s="78"/>
    </row>
    <row r="133" spans="37:55" s="4" customFormat="1">
      <c r="AK133" s="84"/>
      <c r="BA133" s="78"/>
      <c r="BC133" s="78"/>
    </row>
    <row r="134" spans="37:55" s="4" customFormat="1">
      <c r="AK134" s="84"/>
      <c r="BA134" s="78"/>
      <c r="BC134" s="78"/>
    </row>
    <row r="135" spans="37:55" s="4" customFormat="1">
      <c r="AK135" s="84"/>
      <c r="BA135" s="78"/>
      <c r="BC135" s="78"/>
    </row>
    <row r="136" spans="37:55" s="4" customFormat="1">
      <c r="AK136" s="84"/>
      <c r="BA136" s="78"/>
      <c r="BC136" s="78"/>
    </row>
    <row r="137" spans="37:55" s="4" customFormat="1">
      <c r="AK137" s="84"/>
      <c r="BA137" s="78"/>
      <c r="BC137" s="78"/>
    </row>
    <row r="138" spans="37:55" s="4" customFormat="1">
      <c r="AK138" s="84"/>
      <c r="BA138" s="78"/>
      <c r="BC138" s="78"/>
    </row>
    <row r="139" spans="37:55" s="4" customFormat="1">
      <c r="AK139" s="84"/>
      <c r="BA139" s="78"/>
      <c r="BC139" s="78"/>
    </row>
    <row r="140" spans="37:55" s="4" customFormat="1">
      <c r="AK140" s="84"/>
      <c r="BA140" s="78"/>
      <c r="BC140" s="78"/>
    </row>
    <row r="141" spans="37:55" s="4" customFormat="1">
      <c r="AK141" s="84"/>
      <c r="BA141" s="78"/>
      <c r="BC141" s="78"/>
    </row>
    <row r="142" spans="37:55" s="4" customFormat="1">
      <c r="AK142" s="84"/>
      <c r="BA142" s="78"/>
      <c r="BC142" s="78"/>
    </row>
    <row r="143" spans="37:55" s="4" customFormat="1">
      <c r="AK143" s="84"/>
      <c r="BA143" s="78"/>
      <c r="BC143" s="78"/>
    </row>
    <row r="144" spans="37:55" s="4" customFormat="1">
      <c r="AK144" s="84"/>
      <c r="BA144" s="78"/>
      <c r="BC144" s="78"/>
    </row>
    <row r="145" spans="37:55" s="4" customFormat="1">
      <c r="AK145" s="84"/>
      <c r="BA145" s="78"/>
      <c r="BC145" s="78"/>
    </row>
    <row r="146" spans="37:55" s="4" customFormat="1">
      <c r="AK146" s="84"/>
      <c r="BA146" s="78"/>
      <c r="BC146" s="78"/>
    </row>
    <row r="147" spans="37:55" s="4" customFormat="1">
      <c r="AK147" s="84"/>
      <c r="BA147" s="78"/>
      <c r="BC147" s="78"/>
    </row>
    <row r="148" spans="37:55" s="4" customFormat="1">
      <c r="AK148" s="84"/>
      <c r="BA148" s="78"/>
      <c r="BC148" s="78"/>
    </row>
    <row r="149" spans="37:55" s="4" customFormat="1">
      <c r="AK149" s="84"/>
      <c r="BA149" s="78"/>
      <c r="BC149" s="78"/>
    </row>
    <row r="150" spans="37:55" s="4" customFormat="1">
      <c r="AK150" s="84"/>
      <c r="BA150" s="78"/>
      <c r="BC150" s="78"/>
    </row>
    <row r="151" spans="37:55" s="4" customFormat="1">
      <c r="AK151" s="84"/>
      <c r="BA151" s="78"/>
      <c r="BC151" s="78"/>
    </row>
    <row r="152" spans="37:55" s="4" customFormat="1">
      <c r="AK152" s="84"/>
      <c r="BA152" s="78"/>
      <c r="BC152" s="78"/>
    </row>
    <row r="153" spans="37:55" s="4" customFormat="1">
      <c r="AK153" s="84"/>
      <c r="BA153" s="78"/>
      <c r="BC153" s="78"/>
    </row>
    <row r="154" spans="37:55" s="4" customFormat="1">
      <c r="AK154" s="84"/>
      <c r="BA154" s="78"/>
      <c r="BC154" s="78"/>
    </row>
    <row r="155" spans="37:55" s="4" customFormat="1">
      <c r="AK155" s="84"/>
      <c r="BA155" s="78"/>
      <c r="BC155" s="78"/>
    </row>
    <row r="156" spans="37:55" s="4" customFormat="1">
      <c r="AK156" s="84"/>
      <c r="BA156" s="78"/>
      <c r="BC156" s="78"/>
    </row>
    <row r="157" spans="37:55" s="4" customFormat="1">
      <c r="AK157" s="84"/>
      <c r="BA157" s="78"/>
      <c r="BC157" s="78"/>
    </row>
    <row r="158" spans="37:55" s="4" customFormat="1">
      <c r="AK158" s="84"/>
      <c r="BA158" s="78"/>
      <c r="BC158" s="78"/>
    </row>
    <row r="159" spans="37:55" s="4" customFormat="1">
      <c r="AK159" s="84"/>
      <c r="BA159" s="78"/>
      <c r="BC159" s="78"/>
    </row>
    <row r="160" spans="37:55" s="4" customFormat="1">
      <c r="AK160" s="84"/>
      <c r="BA160" s="78"/>
      <c r="BC160" s="78"/>
    </row>
    <row r="161" spans="37:55" s="4" customFormat="1">
      <c r="AK161" s="84"/>
      <c r="BA161" s="78"/>
      <c r="BC161" s="78"/>
    </row>
    <row r="162" spans="37:55" s="4" customFormat="1">
      <c r="AK162" s="84"/>
      <c r="BA162" s="78"/>
      <c r="BC162" s="78"/>
    </row>
    <row r="163" spans="37:55" s="4" customFormat="1">
      <c r="AK163" s="84"/>
      <c r="BA163" s="78"/>
      <c r="BC163" s="78"/>
    </row>
    <row r="164" spans="37:55" s="4" customFormat="1">
      <c r="AK164" s="84"/>
      <c r="BA164" s="78"/>
      <c r="BC164" s="78"/>
    </row>
    <row r="165" spans="37:55" s="4" customFormat="1">
      <c r="AK165" s="84"/>
      <c r="BA165" s="78"/>
      <c r="BC165" s="78"/>
    </row>
    <row r="166" spans="37:55" s="4" customFormat="1">
      <c r="AK166" s="84"/>
      <c r="BA166" s="78"/>
      <c r="BC166" s="78"/>
    </row>
    <row r="167" spans="37:55" s="4" customFormat="1">
      <c r="AK167" s="84"/>
      <c r="BA167" s="78"/>
      <c r="BC167" s="78"/>
    </row>
    <row r="168" spans="37:55" s="4" customFormat="1">
      <c r="AK168" s="84"/>
      <c r="BA168" s="78"/>
      <c r="BC168" s="78"/>
    </row>
    <row r="169" spans="37:55" s="4" customFormat="1">
      <c r="AK169" s="84"/>
      <c r="BA169" s="78"/>
      <c r="BC169" s="78"/>
    </row>
    <row r="170" spans="37:55" s="4" customFormat="1">
      <c r="AK170" s="84"/>
      <c r="BA170" s="78"/>
      <c r="BC170" s="78"/>
    </row>
    <row r="171" spans="37:55" s="4" customFormat="1">
      <c r="AK171" s="84"/>
      <c r="BA171" s="78"/>
      <c r="BC171" s="78"/>
    </row>
    <row r="172" spans="37:55" s="4" customFormat="1">
      <c r="AK172" s="84"/>
      <c r="BA172" s="78"/>
      <c r="BC172" s="78"/>
    </row>
    <row r="173" spans="37:55" s="4" customFormat="1">
      <c r="AK173" s="84"/>
      <c r="BA173" s="78"/>
      <c r="BC173" s="78"/>
    </row>
    <row r="174" spans="37:55" s="4" customFormat="1">
      <c r="AK174" s="84"/>
      <c r="BA174" s="78"/>
      <c r="BC174" s="78"/>
    </row>
    <row r="175" spans="37:55" s="4" customFormat="1">
      <c r="AK175" s="84"/>
      <c r="BA175" s="78"/>
      <c r="BC175" s="78"/>
    </row>
    <row r="176" spans="37:55" s="4" customFormat="1">
      <c r="AK176" s="84"/>
      <c r="BA176" s="78"/>
      <c r="BC176" s="78"/>
    </row>
    <row r="177" spans="37:55" s="4" customFormat="1">
      <c r="AK177" s="84"/>
      <c r="BA177" s="78"/>
      <c r="BC177" s="78"/>
    </row>
    <row r="178" spans="37:55" s="4" customFormat="1">
      <c r="AK178" s="84"/>
      <c r="BA178" s="78"/>
      <c r="BC178" s="78"/>
    </row>
    <row r="179" spans="37:55" s="4" customFormat="1">
      <c r="AK179" s="84"/>
      <c r="BA179" s="78"/>
      <c r="BC179" s="78"/>
    </row>
    <row r="180" spans="37:55" s="4" customFormat="1">
      <c r="AK180" s="84"/>
      <c r="BA180" s="78"/>
      <c r="BC180" s="78"/>
    </row>
    <row r="181" spans="37:55" s="4" customFormat="1">
      <c r="AK181" s="84"/>
      <c r="BA181" s="78"/>
      <c r="BC181" s="78"/>
    </row>
    <row r="182" spans="37:55" s="4" customFormat="1">
      <c r="AK182" s="84"/>
      <c r="BA182" s="78"/>
      <c r="BC182" s="78"/>
    </row>
    <row r="183" spans="37:55" s="4" customFormat="1">
      <c r="AK183" s="84"/>
      <c r="BA183" s="78"/>
      <c r="BC183" s="78"/>
    </row>
    <row r="184" spans="37:55" s="4" customFormat="1">
      <c r="AK184" s="84"/>
      <c r="BA184" s="78"/>
      <c r="BC184" s="78"/>
    </row>
    <row r="185" spans="37:55" s="4" customFormat="1">
      <c r="AK185" s="84"/>
      <c r="BA185" s="78"/>
      <c r="BC185" s="78"/>
    </row>
    <row r="186" spans="37:55" s="4" customFormat="1">
      <c r="AK186" s="84"/>
      <c r="BA186" s="78"/>
      <c r="BC186" s="78"/>
    </row>
    <row r="187" spans="37:55" s="4" customFormat="1">
      <c r="AK187" s="84"/>
      <c r="BA187" s="78"/>
      <c r="BC187" s="78"/>
    </row>
    <row r="188" spans="37:55" s="4" customFormat="1">
      <c r="AK188" s="84"/>
      <c r="BA188" s="78"/>
      <c r="BC188" s="78"/>
    </row>
    <row r="189" spans="37:55" s="4" customFormat="1">
      <c r="AK189" s="84"/>
      <c r="BA189" s="78"/>
      <c r="BC189" s="78"/>
    </row>
    <row r="190" spans="37:55" s="4" customFormat="1">
      <c r="AK190" s="84"/>
      <c r="BA190" s="78"/>
      <c r="BC190" s="78"/>
    </row>
    <row r="191" spans="37:55" s="4" customFormat="1">
      <c r="AK191" s="84"/>
      <c r="BA191" s="78"/>
      <c r="BC191" s="78"/>
    </row>
    <row r="192" spans="37:55" s="4" customFormat="1">
      <c r="AK192" s="84"/>
      <c r="BA192" s="78"/>
      <c r="BC192" s="78"/>
    </row>
    <row r="217" spans="2:6" ht="20.25">
      <c r="B217" s="7" t="s">
        <v>62</v>
      </c>
      <c r="C217" s="7"/>
      <c r="D217" s="7"/>
      <c r="E217" s="7"/>
      <c r="F217" s="7"/>
    </row>
  </sheetData>
  <phoneticPr fontId="0" type="noConversion"/>
  <pageMargins left="0.75" right="0.75" top="1" bottom="1" header="0.5" footer="0.5"/>
  <pageSetup paperSize="9" orientation="portrait" horizontalDpi="4294967292" verticalDpi="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roman_stukan@mail.ru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электропотребления многоканатного подъема</dc:title>
  <dc:subject>Электропотребление подъмов</dc:subject>
  <dc:creator>Стукан Роман Николаевич</dc:creator>
  <cp:keywords>Шахтный подъём</cp:keywords>
  <dc:description>Неплохо произведенная работа</dc:description>
  <cp:lastModifiedBy>Стукан Роман</cp:lastModifiedBy>
  <cp:revision>1</cp:revision>
  <dcterms:created xsi:type="dcterms:W3CDTF">2020-08-05T07:58:21Z</dcterms:created>
  <dcterms:modified xsi:type="dcterms:W3CDTF">2020-08-05T07:58:33Z</dcterms:modified>
  <cp:category>РАСЧЕТ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Владелец">
    <vt:lpwstr>Стукан Р.Н.</vt:lpwstr>
  </property>
  <property fmtid="{D5CDD505-2E9C-101B-9397-08002B2CF9AE}" pid="3" name="Издатель">
    <vt:lpwstr>Донецк Юго-Восток</vt:lpwstr>
  </property>
  <property fmtid="{D5CDD505-2E9C-101B-9397-08002B2CF9AE}" pid="4" name="Номер телефона создателя работы">
    <vt:lpwstr>+380931164374</vt:lpwstr>
  </property>
  <property fmtid="{D5CDD505-2E9C-101B-9397-08002B2CF9AE}" pid="5" name="Отпечатано">
    <vt:lpwstr>Донецк Юго-Восток</vt:lpwstr>
  </property>
  <property fmtid="{D5CDD505-2E9C-101B-9397-08002B2CF9AE}" pid="6" name="Источник">
    <vt:lpwstr>ISBN 966-374-027-2</vt:lpwstr>
  </property>
</Properties>
</file>